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k/Desktop/"/>
    </mc:Choice>
  </mc:AlternateContent>
  <xr:revisionPtr revIDLastSave="0" documentId="13_ncr:1_{0838AEF7-8E61-DE44-AD3E-B07EB575B90F}" xr6:coauthVersionLast="47" xr6:coauthVersionMax="47" xr10:uidLastSave="{00000000-0000-0000-0000-000000000000}"/>
  <bookViews>
    <workbookView xWindow="0" yWindow="500" windowWidth="38400" windowHeight="21100" xr2:uid="{6A1A616D-A174-3243-8F53-45C85EA38A88}"/>
  </bookViews>
  <sheets>
    <sheet name="READ ME" sheetId="3" r:id="rId1"/>
    <sheet name="Calculations" sheetId="1" r:id="rId2"/>
    <sheet name="Raw data" sheetId="4" r:id="rId3"/>
    <sheet name="Returns" sheetId="5" r:id="rId4"/>
    <sheet name="Portfolio_Returns" sheetId="6" r:id="rId5"/>
    <sheet name="Portfolio_Values" sheetId="8" r:id="rId6"/>
    <sheet name="Drawdowns" sheetId="7" r:id="rId7"/>
    <sheet name="Metrics" sheetId="9" r:id="rId8"/>
    <sheet name="Chart" sheetId="10" r:id="rId9"/>
    <sheet name="Regime Analysis" sheetId="11" r:id="rId10"/>
    <sheet name="Assumptions" sheetId="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3" i="1"/>
  <c r="B8" i="11"/>
  <c r="D5" i="9"/>
  <c r="C5" i="9"/>
  <c r="B5" i="9"/>
  <c r="D4" i="9"/>
  <c r="C4" i="9"/>
  <c r="B4" i="9"/>
  <c r="D3" i="9"/>
  <c r="C3" i="9"/>
  <c r="B3" i="9"/>
  <c r="D2" i="9"/>
  <c r="C2" i="9"/>
  <c r="B2" i="9"/>
  <c r="F22" i="1"/>
  <c r="D34" i="1"/>
  <c r="F3" i="1"/>
  <c r="J51" i="1"/>
  <c r="I4" i="1"/>
  <c r="I3" i="1"/>
  <c r="I6" i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5" i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L3" i="1"/>
  <c r="J3" i="1"/>
  <c r="J6" i="1"/>
  <c r="J5" i="1"/>
  <c r="O3" i="1"/>
  <c r="M193" i="1"/>
  <c r="M192" i="1"/>
  <c r="K193" i="1"/>
  <c r="L4" i="1"/>
  <c r="L5" i="1" s="1"/>
  <c r="L6" i="1" s="1"/>
  <c r="G19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3" i="1"/>
  <c r="J4" i="1"/>
  <c r="O4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3" i="1"/>
  <c r="D5" i="1"/>
  <c r="D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3" i="1"/>
  <c r="D10" i="11"/>
  <c r="C10" i="11"/>
  <c r="B10" i="11"/>
  <c r="D9" i="11"/>
  <c r="C9" i="11"/>
  <c r="B9" i="11"/>
  <c r="D8" i="11"/>
  <c r="C8" i="11"/>
  <c r="P2" i="1"/>
  <c r="Q2" i="1"/>
  <c r="J7" i="1" l="1"/>
  <c r="J8" i="1" s="1"/>
  <c r="J9" i="1" s="1"/>
  <c r="N193" i="1"/>
  <c r="Q193" i="1" s="1"/>
  <c r="P6" i="1"/>
  <c r="L7" i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P193" i="1" s="1"/>
  <c r="O5" i="1"/>
  <c r="G44" i="1"/>
  <c r="G148" i="1"/>
  <c r="G169" i="1"/>
  <c r="G186" i="1"/>
  <c r="G138" i="1"/>
  <c r="G122" i="1"/>
  <c r="G98" i="1"/>
  <c r="G74" i="1"/>
  <c r="G58" i="1"/>
  <c r="G34" i="1"/>
  <c r="G10" i="1"/>
  <c r="G107" i="1"/>
  <c r="G147" i="1"/>
  <c r="G185" i="1"/>
  <c r="G106" i="1"/>
  <c r="G42" i="1"/>
  <c r="G26" i="1"/>
  <c r="G187" i="1"/>
  <c r="G171" i="1"/>
  <c r="G139" i="1"/>
  <c r="G123" i="1"/>
  <c r="G115" i="1"/>
  <c r="G99" i="1"/>
  <c r="G75" i="1"/>
  <c r="G59" i="1"/>
  <c r="G51" i="1"/>
  <c r="G35" i="1"/>
  <c r="G11" i="1"/>
  <c r="K3" i="1"/>
  <c r="G20" i="1"/>
  <c r="G130" i="1"/>
  <c r="G170" i="1"/>
  <c r="G108" i="1"/>
  <c r="G43" i="1"/>
  <c r="G190" i="1"/>
  <c r="G166" i="1"/>
  <c r="G158" i="1"/>
  <c r="G134" i="1"/>
  <c r="G110" i="1"/>
  <c r="G86" i="1"/>
  <c r="G62" i="1"/>
  <c r="G38" i="1"/>
  <c r="G6" i="1"/>
  <c r="G90" i="1"/>
  <c r="G146" i="1"/>
  <c r="G84" i="1"/>
  <c r="G182" i="1"/>
  <c r="G150" i="1"/>
  <c r="G126" i="1"/>
  <c r="G102" i="1"/>
  <c r="G78" i="1"/>
  <c r="G54" i="1"/>
  <c r="G30" i="1"/>
  <c r="G83" i="1"/>
  <c r="G19" i="1"/>
  <c r="G145" i="1"/>
  <c r="G67" i="1"/>
  <c r="G174" i="1"/>
  <c r="G142" i="1"/>
  <c r="G118" i="1"/>
  <c r="G94" i="1"/>
  <c r="G70" i="1"/>
  <c r="G46" i="1"/>
  <c r="G22" i="1"/>
  <c r="G14" i="1"/>
  <c r="H2" i="1"/>
  <c r="G82" i="1"/>
  <c r="G18" i="1"/>
  <c r="G131" i="1"/>
  <c r="G66" i="1"/>
  <c r="G164" i="1"/>
  <c r="G163" i="1"/>
  <c r="G100" i="1"/>
  <c r="G36" i="1"/>
  <c r="G137" i="1"/>
  <c r="G105" i="1"/>
  <c r="G25" i="1"/>
  <c r="G154" i="1"/>
  <c r="G132" i="1"/>
  <c r="G114" i="1"/>
  <c r="G91" i="1"/>
  <c r="G68" i="1"/>
  <c r="G50" i="1"/>
  <c r="G27" i="1"/>
  <c r="G4" i="1"/>
  <c r="G179" i="1"/>
  <c r="F2" i="1"/>
  <c r="G178" i="1"/>
  <c r="G162" i="1"/>
  <c r="G140" i="1"/>
  <c r="G76" i="1"/>
  <c r="G12" i="1"/>
  <c r="G180" i="1"/>
  <c r="G124" i="1"/>
  <c r="G60" i="1"/>
  <c r="G2" i="1"/>
  <c r="G161" i="1"/>
  <c r="G129" i="1"/>
  <c r="G113" i="1"/>
  <c r="G97" i="1"/>
  <c r="G81" i="1"/>
  <c r="G73" i="1"/>
  <c r="G57" i="1"/>
  <c r="G49" i="1"/>
  <c r="G33" i="1"/>
  <c r="G17" i="1"/>
  <c r="G9" i="1"/>
  <c r="G177" i="1"/>
  <c r="G156" i="1"/>
  <c r="G116" i="1"/>
  <c r="G52" i="1"/>
  <c r="G153" i="1"/>
  <c r="G121" i="1"/>
  <c r="G89" i="1"/>
  <c r="G65" i="1"/>
  <c r="G41" i="1"/>
  <c r="G188" i="1"/>
  <c r="G172" i="1"/>
  <c r="G155" i="1"/>
  <c r="G92" i="1"/>
  <c r="G28" i="1"/>
  <c r="G189" i="1"/>
  <c r="G181" i="1"/>
  <c r="G173" i="1"/>
  <c r="G165" i="1"/>
  <c r="G157" i="1"/>
  <c r="G149" i="1"/>
  <c r="G141" i="1"/>
  <c r="G133" i="1"/>
  <c r="G125" i="1"/>
  <c r="G117" i="1"/>
  <c r="G109" i="1"/>
  <c r="G101" i="1"/>
  <c r="G93" i="1"/>
  <c r="G85" i="1"/>
  <c r="G77" i="1"/>
  <c r="G69" i="1"/>
  <c r="G61" i="1"/>
  <c r="G53" i="1"/>
  <c r="G45" i="1"/>
  <c r="G37" i="1"/>
  <c r="G29" i="1"/>
  <c r="G21" i="1"/>
  <c r="G13" i="1"/>
  <c r="G5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8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M4" i="1" l="1"/>
  <c r="M6" i="1" s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Q3" i="1"/>
  <c r="P3" i="1"/>
  <c r="J10" i="1" l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O193" i="1" s="1"/>
  <c r="M7" i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O6" i="1"/>
  <c r="Q4" i="1"/>
  <c r="P4" i="1"/>
  <c r="P5" i="1" l="1"/>
  <c r="Q6" i="1"/>
  <c r="Q5" i="1"/>
  <c r="P7" i="1" l="1"/>
  <c r="O7" i="1"/>
  <c r="Q7" i="1"/>
  <c r="P8" i="1" l="1"/>
  <c r="Q8" i="1"/>
  <c r="O8" i="1"/>
  <c r="O9" i="1" l="1"/>
  <c r="P9" i="1"/>
  <c r="Q9" i="1"/>
  <c r="Q10" i="1" l="1"/>
  <c r="O10" i="1"/>
  <c r="P10" i="1"/>
  <c r="P11" i="1" l="1"/>
  <c r="Q11" i="1"/>
  <c r="O11" i="1"/>
  <c r="O12" i="1" l="1"/>
  <c r="P12" i="1"/>
  <c r="Q12" i="1"/>
  <c r="O13" i="1" l="1"/>
  <c r="P13" i="1"/>
  <c r="Q13" i="1"/>
  <c r="P14" i="1" l="1"/>
  <c r="Q14" i="1"/>
  <c r="O14" i="1"/>
  <c r="O15" i="1" l="1"/>
  <c r="P15" i="1"/>
  <c r="Q15" i="1"/>
  <c r="P16" i="1" l="1"/>
  <c r="Q16" i="1"/>
  <c r="O16" i="1"/>
  <c r="P17" i="1" l="1"/>
  <c r="Q17" i="1"/>
  <c r="O17" i="1"/>
  <c r="P18" i="1" l="1"/>
  <c r="Q18" i="1"/>
  <c r="O18" i="1"/>
  <c r="P19" i="1" l="1"/>
  <c r="Q19" i="1"/>
  <c r="O19" i="1"/>
  <c r="P20" i="1" l="1"/>
  <c r="Q20" i="1"/>
  <c r="O20" i="1"/>
  <c r="P21" i="1" l="1"/>
  <c r="Q21" i="1"/>
  <c r="O21" i="1"/>
  <c r="P22" i="1" l="1"/>
  <c r="Q22" i="1"/>
  <c r="O22" i="1"/>
  <c r="P23" i="1" l="1"/>
  <c r="Q23" i="1"/>
  <c r="O23" i="1"/>
  <c r="O24" i="1" l="1"/>
  <c r="P24" i="1"/>
  <c r="Q24" i="1"/>
  <c r="P25" i="1" l="1"/>
  <c r="Q25" i="1"/>
  <c r="O25" i="1"/>
  <c r="P26" i="1" l="1"/>
  <c r="Q26" i="1"/>
  <c r="O26" i="1"/>
  <c r="P27" i="1" l="1"/>
  <c r="Q27" i="1"/>
  <c r="O27" i="1"/>
  <c r="Q28" i="1" l="1"/>
  <c r="O28" i="1"/>
  <c r="P28" i="1"/>
  <c r="P29" i="1" l="1"/>
  <c r="Q29" i="1"/>
  <c r="O29" i="1"/>
  <c r="P30" i="1" l="1"/>
  <c r="Q30" i="1"/>
  <c r="O30" i="1"/>
  <c r="O31" i="1" l="1"/>
  <c r="P31" i="1"/>
  <c r="Q31" i="1"/>
  <c r="P32" i="1" l="1"/>
  <c r="Q32" i="1"/>
  <c r="O32" i="1"/>
  <c r="P33" i="1" l="1"/>
  <c r="Q33" i="1"/>
  <c r="O33" i="1"/>
  <c r="O34" i="1" l="1"/>
  <c r="P34" i="1"/>
  <c r="Q34" i="1"/>
  <c r="P35" i="1" l="1"/>
  <c r="Q35" i="1"/>
  <c r="O35" i="1"/>
  <c r="P36" i="1" l="1"/>
  <c r="Q36" i="1"/>
  <c r="O36" i="1"/>
  <c r="P37" i="1" l="1"/>
  <c r="Q37" i="1"/>
  <c r="O37" i="1"/>
  <c r="P38" i="1" l="1"/>
  <c r="Q38" i="1"/>
  <c r="O38" i="1"/>
  <c r="P39" i="1" l="1"/>
  <c r="Q39" i="1"/>
  <c r="O39" i="1"/>
  <c r="P40" i="1" l="1"/>
  <c r="Q40" i="1"/>
  <c r="O40" i="1"/>
  <c r="P41" i="1" l="1"/>
  <c r="Q41" i="1"/>
  <c r="O41" i="1"/>
  <c r="P42" i="1" l="1"/>
  <c r="Q42" i="1"/>
  <c r="O42" i="1"/>
  <c r="P43" i="1" l="1"/>
  <c r="Q43" i="1"/>
  <c r="O43" i="1"/>
  <c r="P44" i="1" l="1"/>
  <c r="O44" i="1"/>
  <c r="Q44" i="1"/>
  <c r="P45" i="1" l="1"/>
  <c r="Q45" i="1"/>
  <c r="O45" i="1"/>
  <c r="P46" i="1" l="1"/>
  <c r="Q46" i="1"/>
  <c r="O46" i="1"/>
  <c r="P47" i="1" l="1"/>
  <c r="Q47" i="1"/>
  <c r="O47" i="1"/>
  <c r="P48" i="1" l="1"/>
  <c r="Q48" i="1"/>
  <c r="O48" i="1"/>
  <c r="P49" i="1" l="1"/>
  <c r="Q49" i="1"/>
  <c r="O49" i="1"/>
  <c r="P50" i="1" l="1"/>
  <c r="Q50" i="1"/>
  <c r="O50" i="1"/>
  <c r="P51" i="1" l="1"/>
  <c r="Q51" i="1"/>
  <c r="O51" i="1"/>
  <c r="P52" i="1" l="1"/>
  <c r="Q52" i="1"/>
  <c r="O52" i="1"/>
  <c r="P53" i="1" l="1"/>
  <c r="Q53" i="1"/>
  <c r="O53" i="1"/>
  <c r="P54" i="1" l="1"/>
  <c r="Q54" i="1"/>
  <c r="O54" i="1"/>
  <c r="P55" i="1" l="1"/>
  <c r="Q55" i="1"/>
  <c r="O55" i="1"/>
  <c r="P56" i="1" l="1"/>
  <c r="Q56" i="1"/>
  <c r="O56" i="1"/>
  <c r="P57" i="1" l="1"/>
  <c r="Q57" i="1"/>
  <c r="O57" i="1"/>
  <c r="P58" i="1" l="1"/>
  <c r="Q58" i="1"/>
  <c r="O58" i="1"/>
  <c r="O59" i="1" l="1"/>
  <c r="P59" i="1"/>
  <c r="Q59" i="1"/>
  <c r="P60" i="1" l="1"/>
  <c r="Q60" i="1"/>
  <c r="O60" i="1"/>
  <c r="O61" i="1" l="1"/>
  <c r="P61" i="1"/>
  <c r="Q61" i="1"/>
  <c r="P62" i="1" l="1"/>
  <c r="Q62" i="1"/>
  <c r="O62" i="1"/>
  <c r="P63" i="1" l="1"/>
  <c r="Q63" i="1"/>
  <c r="O63" i="1"/>
  <c r="P64" i="1" l="1"/>
  <c r="Q64" i="1"/>
  <c r="O64" i="1"/>
  <c r="P65" i="1" l="1"/>
  <c r="Q65" i="1"/>
  <c r="O65" i="1"/>
  <c r="P66" i="1" l="1"/>
  <c r="Q66" i="1"/>
  <c r="O66" i="1"/>
  <c r="P67" i="1" l="1"/>
  <c r="Q67" i="1"/>
  <c r="O67" i="1"/>
  <c r="P68" i="1" l="1"/>
  <c r="Q68" i="1"/>
  <c r="O68" i="1"/>
  <c r="P69" i="1" l="1"/>
  <c r="Q69" i="1"/>
  <c r="O69" i="1"/>
  <c r="P70" i="1" l="1"/>
  <c r="Q70" i="1"/>
  <c r="O70" i="1"/>
  <c r="O71" i="1" l="1"/>
  <c r="P71" i="1"/>
  <c r="Q71" i="1"/>
  <c r="P72" i="1" l="1"/>
  <c r="Q72" i="1"/>
  <c r="O72" i="1"/>
  <c r="P73" i="1" l="1"/>
  <c r="Q73" i="1"/>
  <c r="O73" i="1"/>
  <c r="P74" i="1" l="1"/>
  <c r="Q74" i="1"/>
  <c r="O74" i="1"/>
  <c r="P75" i="1" l="1"/>
  <c r="Q75" i="1"/>
  <c r="O75" i="1"/>
  <c r="O76" i="1" l="1"/>
  <c r="P76" i="1"/>
  <c r="Q76" i="1"/>
  <c r="P77" i="1" l="1"/>
  <c r="Q77" i="1"/>
  <c r="O77" i="1"/>
  <c r="O78" i="1" l="1"/>
  <c r="P78" i="1"/>
  <c r="Q78" i="1"/>
  <c r="P79" i="1" l="1"/>
  <c r="Q79" i="1"/>
  <c r="O79" i="1"/>
  <c r="P80" i="1" l="1"/>
  <c r="Q80" i="1"/>
  <c r="O80" i="1"/>
  <c r="P81" i="1" l="1"/>
  <c r="Q81" i="1"/>
  <c r="O81" i="1"/>
  <c r="O82" i="1" l="1"/>
  <c r="P82" i="1"/>
  <c r="Q82" i="1"/>
  <c r="P83" i="1" l="1"/>
  <c r="Q83" i="1"/>
  <c r="O83" i="1"/>
  <c r="O84" i="1" l="1"/>
  <c r="P84" i="1"/>
  <c r="Q84" i="1"/>
  <c r="P85" i="1" l="1"/>
  <c r="Q85" i="1"/>
  <c r="O85" i="1"/>
  <c r="P86" i="1" l="1"/>
  <c r="Q86" i="1"/>
  <c r="O86" i="1"/>
  <c r="P87" i="1" l="1"/>
  <c r="Q87" i="1"/>
  <c r="O87" i="1"/>
  <c r="P88" i="1" l="1"/>
  <c r="Q88" i="1"/>
  <c r="O88" i="1"/>
  <c r="P89" i="1" l="1"/>
  <c r="Q89" i="1"/>
  <c r="O89" i="1"/>
  <c r="P90" i="1" l="1"/>
  <c r="Q90" i="1"/>
  <c r="O90" i="1"/>
  <c r="O91" i="1" l="1"/>
  <c r="P91" i="1"/>
  <c r="Q91" i="1"/>
  <c r="P92" i="1" l="1"/>
  <c r="Q92" i="1"/>
  <c r="O92" i="1"/>
  <c r="P93" i="1" l="1"/>
  <c r="Q93" i="1"/>
  <c r="O93" i="1"/>
  <c r="P94" i="1" l="1"/>
  <c r="Q94" i="1"/>
  <c r="O94" i="1"/>
  <c r="P95" i="1" l="1"/>
  <c r="Q95" i="1"/>
  <c r="O95" i="1"/>
  <c r="P96" i="1" l="1"/>
  <c r="Q96" i="1"/>
  <c r="O96" i="1"/>
  <c r="P97" i="1" l="1"/>
  <c r="Q97" i="1"/>
  <c r="O97" i="1"/>
  <c r="P98" i="1" l="1"/>
  <c r="Q98" i="1"/>
  <c r="O98" i="1"/>
  <c r="P99" i="1" l="1"/>
  <c r="Q99" i="1"/>
  <c r="O99" i="1"/>
  <c r="Q100" i="1" l="1"/>
  <c r="O100" i="1"/>
  <c r="P100" i="1"/>
  <c r="P101" i="1" l="1"/>
  <c r="Q101" i="1"/>
  <c r="O101" i="1"/>
  <c r="P102" i="1" l="1"/>
  <c r="Q102" i="1"/>
  <c r="O102" i="1"/>
  <c r="P103" i="1" l="1"/>
  <c r="Q103" i="1"/>
  <c r="O103" i="1"/>
  <c r="P104" i="1" l="1"/>
  <c r="Q104" i="1"/>
  <c r="O104" i="1"/>
  <c r="P105" i="1" l="1"/>
  <c r="Q105" i="1"/>
  <c r="O105" i="1"/>
  <c r="P106" i="1" l="1"/>
  <c r="Q106" i="1"/>
  <c r="O106" i="1"/>
  <c r="P107" i="1" l="1"/>
  <c r="Q107" i="1"/>
  <c r="O107" i="1"/>
  <c r="P108" i="1" l="1"/>
  <c r="Q108" i="1"/>
  <c r="O108" i="1"/>
  <c r="P109" i="1" l="1"/>
  <c r="Q109" i="1"/>
  <c r="O109" i="1"/>
  <c r="P110" i="1" l="1"/>
  <c r="Q110" i="1"/>
  <c r="O110" i="1"/>
  <c r="P111" i="1" l="1"/>
  <c r="Q111" i="1"/>
  <c r="O111" i="1"/>
  <c r="P112" i="1" l="1"/>
  <c r="Q112" i="1"/>
  <c r="O112" i="1"/>
  <c r="O113" i="1" l="1"/>
  <c r="P113" i="1"/>
  <c r="Q113" i="1"/>
  <c r="P114" i="1" l="1"/>
  <c r="Q114" i="1"/>
  <c r="O114" i="1"/>
  <c r="Q115" i="1" l="1"/>
  <c r="P115" i="1"/>
  <c r="O115" i="1"/>
  <c r="P116" i="1" l="1"/>
  <c r="O116" i="1"/>
  <c r="Q116" i="1"/>
  <c r="P117" i="1" l="1"/>
  <c r="Q117" i="1"/>
  <c r="O117" i="1"/>
  <c r="P118" i="1" l="1"/>
  <c r="Q118" i="1"/>
  <c r="O118" i="1"/>
  <c r="P119" i="1" l="1"/>
  <c r="Q119" i="1"/>
  <c r="O119" i="1"/>
  <c r="P120" i="1" l="1"/>
  <c r="Q120" i="1"/>
  <c r="O120" i="1"/>
  <c r="P121" i="1" l="1"/>
  <c r="Q121" i="1"/>
  <c r="O121" i="1"/>
  <c r="P122" i="1" l="1"/>
  <c r="Q122" i="1"/>
  <c r="O122" i="1"/>
  <c r="P123" i="1" l="1"/>
  <c r="Q123" i="1"/>
  <c r="O123" i="1"/>
  <c r="P124" i="1" l="1"/>
  <c r="Q124" i="1"/>
  <c r="O124" i="1"/>
  <c r="P125" i="1" l="1"/>
  <c r="Q125" i="1"/>
  <c r="O125" i="1"/>
  <c r="P126" i="1" l="1"/>
  <c r="Q126" i="1"/>
  <c r="O126" i="1"/>
  <c r="P127" i="1" l="1"/>
  <c r="Q127" i="1"/>
  <c r="O127" i="1"/>
  <c r="P128" i="1" l="1"/>
  <c r="Q128" i="1"/>
  <c r="O128" i="1"/>
  <c r="P129" i="1" l="1"/>
  <c r="Q129" i="1"/>
  <c r="O129" i="1"/>
  <c r="P130" i="1" l="1"/>
  <c r="Q130" i="1"/>
  <c r="O130" i="1"/>
  <c r="P131" i="1" l="1"/>
  <c r="Q131" i="1"/>
  <c r="O131" i="1"/>
  <c r="P132" i="1" l="1"/>
  <c r="Q132" i="1"/>
  <c r="O132" i="1"/>
  <c r="P133" i="1" l="1"/>
  <c r="Q133" i="1"/>
  <c r="O133" i="1"/>
  <c r="O134" i="1" l="1"/>
  <c r="P134" i="1"/>
  <c r="Q134" i="1"/>
  <c r="P135" i="1" l="1"/>
  <c r="Q135" i="1"/>
  <c r="O135" i="1"/>
  <c r="P136" i="1" l="1"/>
  <c r="Q136" i="1"/>
  <c r="O136" i="1"/>
  <c r="P137" i="1" l="1"/>
  <c r="Q137" i="1"/>
  <c r="O137" i="1"/>
  <c r="P138" i="1" l="1"/>
  <c r="Q138" i="1"/>
  <c r="O138" i="1"/>
  <c r="P139" i="1" l="1"/>
  <c r="Q139" i="1"/>
  <c r="O139" i="1"/>
  <c r="P140" i="1" l="1"/>
  <c r="Q140" i="1"/>
  <c r="O140" i="1"/>
  <c r="P141" i="1" l="1"/>
  <c r="Q141" i="1"/>
  <c r="O141" i="1"/>
  <c r="P142" i="1" l="1"/>
  <c r="Q142" i="1"/>
  <c r="O142" i="1"/>
  <c r="P143" i="1" l="1"/>
  <c r="Q143" i="1"/>
  <c r="O143" i="1"/>
  <c r="P144" i="1" l="1"/>
  <c r="Q144" i="1"/>
  <c r="O144" i="1"/>
  <c r="P145" i="1" l="1"/>
  <c r="Q145" i="1"/>
  <c r="O145" i="1"/>
  <c r="P146" i="1" l="1"/>
  <c r="Q146" i="1"/>
  <c r="O146" i="1"/>
  <c r="P147" i="1" l="1"/>
  <c r="Q147" i="1"/>
  <c r="O147" i="1"/>
  <c r="P148" i="1" l="1"/>
  <c r="Q148" i="1"/>
  <c r="O148" i="1"/>
  <c r="P149" i="1" l="1"/>
  <c r="Q149" i="1"/>
  <c r="O149" i="1"/>
  <c r="Q150" i="1" l="1"/>
  <c r="O150" i="1"/>
  <c r="P150" i="1"/>
  <c r="P151" i="1" l="1"/>
  <c r="Q151" i="1"/>
  <c r="O151" i="1"/>
  <c r="O152" i="1" l="1"/>
  <c r="P152" i="1"/>
  <c r="Q152" i="1"/>
  <c r="P153" i="1" l="1"/>
  <c r="Q153" i="1"/>
  <c r="O153" i="1"/>
  <c r="P154" i="1" l="1"/>
  <c r="Q154" i="1"/>
  <c r="O154" i="1"/>
  <c r="P155" i="1" l="1"/>
  <c r="Q155" i="1"/>
  <c r="O155" i="1"/>
  <c r="P156" i="1" l="1"/>
  <c r="Q156" i="1"/>
  <c r="O156" i="1"/>
  <c r="O157" i="1" l="1"/>
  <c r="P157" i="1"/>
  <c r="Q157" i="1"/>
  <c r="P158" i="1" l="1"/>
  <c r="Q158" i="1"/>
  <c r="O158" i="1"/>
  <c r="P159" i="1" l="1"/>
  <c r="Q159" i="1"/>
  <c r="O159" i="1"/>
  <c r="P160" i="1" l="1"/>
  <c r="Q160" i="1"/>
  <c r="O160" i="1"/>
  <c r="O161" i="1" l="1"/>
  <c r="P161" i="1"/>
  <c r="Q161" i="1"/>
  <c r="O162" i="1" l="1"/>
  <c r="P162" i="1"/>
  <c r="Q162" i="1"/>
  <c r="Q163" i="1" l="1"/>
  <c r="O163" i="1"/>
  <c r="P163" i="1"/>
  <c r="P164" i="1" l="1"/>
  <c r="Q164" i="1"/>
  <c r="O164" i="1"/>
  <c r="P165" i="1" l="1"/>
  <c r="O165" i="1"/>
  <c r="Q165" i="1"/>
  <c r="P166" i="1" l="1"/>
  <c r="Q166" i="1"/>
  <c r="O166" i="1"/>
  <c r="P167" i="1" l="1"/>
  <c r="Q167" i="1"/>
  <c r="O167" i="1"/>
  <c r="P168" i="1" l="1"/>
  <c r="Q168" i="1"/>
  <c r="O168" i="1"/>
  <c r="P169" i="1" l="1"/>
  <c r="Q169" i="1"/>
  <c r="O169" i="1"/>
  <c r="Q170" i="1" l="1"/>
  <c r="O170" i="1"/>
  <c r="P170" i="1"/>
  <c r="P171" i="1" l="1"/>
  <c r="O171" i="1"/>
  <c r="Q171" i="1"/>
  <c r="P172" i="1" l="1"/>
  <c r="Q172" i="1"/>
  <c r="O172" i="1"/>
  <c r="P173" i="1" l="1"/>
  <c r="Q173" i="1"/>
  <c r="O173" i="1"/>
  <c r="P174" i="1" l="1"/>
  <c r="Q174" i="1"/>
  <c r="O174" i="1"/>
  <c r="P175" i="1" l="1"/>
  <c r="Q175" i="1"/>
  <c r="O175" i="1"/>
  <c r="P176" i="1" l="1"/>
  <c r="Q176" i="1"/>
  <c r="O176" i="1"/>
  <c r="P177" i="1" l="1"/>
  <c r="Q177" i="1"/>
  <c r="O177" i="1"/>
  <c r="Q178" i="1" l="1"/>
  <c r="O178" i="1"/>
  <c r="P178" i="1"/>
  <c r="P179" i="1" l="1"/>
  <c r="Q179" i="1"/>
  <c r="O179" i="1"/>
  <c r="P180" i="1" l="1"/>
  <c r="Q180" i="1"/>
  <c r="O180" i="1"/>
  <c r="P181" i="1" l="1"/>
  <c r="Q181" i="1"/>
  <c r="O181" i="1"/>
  <c r="P182" i="1" l="1"/>
  <c r="Q182" i="1"/>
  <c r="O182" i="1"/>
  <c r="P183" i="1" l="1"/>
  <c r="Q183" i="1"/>
  <c r="O183" i="1"/>
  <c r="O184" i="1" l="1"/>
  <c r="P184" i="1"/>
  <c r="Q184" i="1"/>
  <c r="P185" i="1" l="1"/>
  <c r="Q185" i="1"/>
  <c r="O185" i="1"/>
  <c r="O186" i="1" l="1"/>
  <c r="P186" i="1"/>
  <c r="Q186" i="1"/>
  <c r="P187" i="1" l="1"/>
  <c r="Q187" i="1"/>
  <c r="O187" i="1"/>
  <c r="P188" i="1" l="1"/>
  <c r="Q188" i="1"/>
  <c r="O188" i="1"/>
  <c r="P189" i="1" l="1"/>
  <c r="Q189" i="1"/>
  <c r="O189" i="1"/>
  <c r="P190" i="1" l="1"/>
  <c r="Q190" i="1"/>
  <c r="O190" i="1"/>
  <c r="P191" i="1" l="1"/>
  <c r="Q191" i="1"/>
  <c r="O191" i="1"/>
  <c r="P192" i="1" l="1"/>
  <c r="Q192" i="1"/>
  <c r="O192" i="1"/>
</calcChain>
</file>

<file path=xl/sharedStrings.xml><?xml version="1.0" encoding="utf-8"?>
<sst xmlns="http://schemas.openxmlformats.org/spreadsheetml/2006/main" count="60" uniqueCount="36">
  <si>
    <t>Date</t>
  </si>
  <si>
    <t>VTI_Price </t>
  </si>
  <si>
    <t>BND_Price</t>
  </si>
  <si>
    <t>VTI_Return</t>
  </si>
  <si>
    <t>BND_Return</t>
  </si>
  <si>
    <t>Growth_Return</t>
  </si>
  <si>
    <t>Balanced_Return</t>
  </si>
  <si>
    <t>Preservation_Return</t>
  </si>
  <si>
    <t>Growth_Value</t>
  </si>
  <si>
    <t>Balanced_Value</t>
  </si>
  <si>
    <t>Preservation_Value</t>
  </si>
  <si>
    <t>Growth_Drawdown</t>
  </si>
  <si>
    <t>Balanced_Drawdown</t>
  </si>
  <si>
    <t>Preservation_Drawdown</t>
  </si>
  <si>
    <t>Growth_Peak</t>
  </si>
  <si>
    <t>Balanced_Peak</t>
  </si>
  <si>
    <t>Preservation_Peak</t>
  </si>
  <si>
    <t>Metric</t>
  </si>
  <si>
    <t>CAGR</t>
  </si>
  <si>
    <t>Volatility</t>
  </si>
  <si>
    <t>Max Drawdown</t>
  </si>
  <si>
    <t>Worst Monthly Return</t>
  </si>
  <si>
    <t>Growth</t>
  </si>
  <si>
    <t>Balanced</t>
  </si>
  <si>
    <t>Preservation</t>
  </si>
  <si>
    <t>Market Regime Analysis</t>
  </si>
  <si>
    <t>Regimes Analyzed</t>
  </si>
  <si>
    <t>2020: COVID Shock</t>
  </si>
  <si>
    <t>2022: Rate Hike Shock</t>
  </si>
  <si>
    <t>Regime</t>
  </si>
  <si>
    <t>Growth Max</t>
  </si>
  <si>
    <t>Balanced Max</t>
  </si>
  <si>
    <t>Preservation Max</t>
  </si>
  <si>
    <t xml:space="preserve">                         2010-2019</t>
  </si>
  <si>
    <t>Portfolio Growth Over Time</t>
  </si>
  <si>
    <t>2010-2019: 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</si>
</sst>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1" applyNumberFormat="1" applyFont="1"/>
    <xf numFmtId="0" fontId="2" fillId="0" borderId="0" xfId="0" applyFont="1"/>
    <xf numFmtId="10" fontId="2" fillId="0" borderId="0" xfId="1" applyNumberFormat="1" applyFont="1"/>
    <xf numFmtId="14" fontId="2" fillId="0" borderId="0" xfId="0" applyNumberFormat="1" applyFont="1"/>
    <xf numFmtId="10" fontId="0" fillId="0" borderId="0" xfId="0" applyNumberFormat="1"/>
    <xf numFmtId="0" fontId="0" fillId="4" borderId="0" xfId="0" applyFill="1"/>
    <xf numFmtId="0" fontId="0" fillId="3" borderId="1" xfId="0" applyFill="1" applyBorder="1"/>
    <xf numFmtId="0" fontId="0" fillId="2" borderId="1" xfId="0" applyFill="1" applyBorder="1"/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Growth Over Time ($10,000 Initial Investment)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8255162872082851"/>
          <c:y val="6.410256410256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Portfolio_Values!$B$1</c:f>
              <c:strCache>
                <c:ptCount val="1"/>
                <c:pt idx="0">
                  <c:v>Growth_Value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Portfolio_Values!$A$2:$A$192</c:f>
              <c:numCache>
                <c:formatCode>m/d/yy</c:formatCode>
                <c:ptCount val="19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</c:numCache>
            </c:numRef>
          </c:cat>
          <c:val>
            <c:numRef>
              <c:f>Portfolio_Values!$B$2:$B$192</c:f>
              <c:numCache>
                <c:formatCode>General</c:formatCode>
                <c:ptCount val="191"/>
                <c:pt idx="0">
                  <c:v>10000</c:v>
                </c:pt>
                <c:pt idx="1">
                  <c:v>10309.712716477476</c:v>
                </c:pt>
                <c:pt idx="2">
                  <c:v>10861.176015097892</c:v>
                </c:pt>
                <c:pt idx="3">
                  <c:v>11124.837263034351</c:v>
                </c:pt>
                <c:pt idx="4">
                  <c:v>10349.05254184216</c:v>
                </c:pt>
                <c:pt idx="5">
                  <c:v>9778.5462455398574</c:v>
                </c:pt>
                <c:pt idx="6">
                  <c:v>10448.419351233988</c:v>
                </c:pt>
                <c:pt idx="7">
                  <c:v>10022.953085400359</c:v>
                </c:pt>
                <c:pt idx="8">
                  <c:v>10825.919925272916</c:v>
                </c:pt>
                <c:pt idx="9">
                  <c:v>11272.57798745499</c:v>
                </c:pt>
                <c:pt idx="10">
                  <c:v>11317.157756658382</c:v>
                </c:pt>
                <c:pt idx="11">
                  <c:v>11947.975145201199</c:v>
                </c:pt>
                <c:pt idx="12">
                  <c:v>12240.517846456029</c:v>
                </c:pt>
                <c:pt idx="13">
                  <c:v>12649.255986558535</c:v>
                </c:pt>
                <c:pt idx="14">
                  <c:v>12647.564263365835</c:v>
                </c:pt>
                <c:pt idx="15">
                  <c:v>13043.010537697697</c:v>
                </c:pt>
                <c:pt idx="16">
                  <c:v>12933.763115565853</c:v>
                </c:pt>
                <c:pt idx="17">
                  <c:v>12672.422845660156</c:v>
                </c:pt>
                <c:pt idx="18">
                  <c:v>12481.398777225568</c:v>
                </c:pt>
                <c:pt idx="19">
                  <c:v>11819.366564439075</c:v>
                </c:pt>
                <c:pt idx="20">
                  <c:v>10968.725051097234</c:v>
                </c:pt>
                <c:pt idx="21">
                  <c:v>12150.118817990122</c:v>
                </c:pt>
                <c:pt idx="22">
                  <c:v>12110.176251023053</c:v>
                </c:pt>
                <c:pt idx="23">
                  <c:v>12159.501712793146</c:v>
                </c:pt>
                <c:pt idx="24">
                  <c:v>12799.184202492515</c:v>
                </c:pt>
                <c:pt idx="25">
                  <c:v>13281.524762301702</c:v>
                </c:pt>
                <c:pt idx="26">
                  <c:v>13589.013132450413</c:v>
                </c:pt>
                <c:pt idx="27">
                  <c:v>13576.594515748953</c:v>
                </c:pt>
                <c:pt idx="28">
                  <c:v>12832.076488023456</c:v>
                </c:pt>
                <c:pt idx="29">
                  <c:v>13238.191691749973</c:v>
                </c:pt>
                <c:pt idx="30">
                  <c:v>13419.534626564084</c:v>
                </c:pt>
                <c:pt idx="31">
                  <c:v>13749.435262244053</c:v>
                </c:pt>
                <c:pt idx="32">
                  <c:v>13996.742863102778</c:v>
                </c:pt>
                <c:pt idx="33">
                  <c:v>13829.084729331673</c:v>
                </c:pt>
                <c:pt idx="34">
                  <c:v>13930.037932370877</c:v>
                </c:pt>
                <c:pt idx="35">
                  <c:v>13982.130609736443</c:v>
                </c:pt>
                <c:pt idx="36">
                  <c:v>14757.283222492295</c:v>
                </c:pt>
                <c:pt idx="37">
                  <c:v>14931.703537892294</c:v>
                </c:pt>
                <c:pt idx="38">
                  <c:v>15400.457733553934</c:v>
                </c:pt>
                <c:pt idx="39">
                  <c:v>15699.880581836371</c:v>
                </c:pt>
                <c:pt idx="40">
                  <c:v>16018.034007047425</c:v>
                </c:pt>
                <c:pt idx="41">
                  <c:v>15717.27266023011</c:v>
                </c:pt>
                <c:pt idx="42">
                  <c:v>16605.621357256026</c:v>
                </c:pt>
                <c:pt idx="43">
                  <c:v>16138.993600943877</c:v>
                </c:pt>
                <c:pt idx="44">
                  <c:v>16650.653488180164</c:v>
                </c:pt>
                <c:pt idx="45">
                  <c:v>17379.53236461067</c:v>
                </c:pt>
                <c:pt idx="46">
                  <c:v>17797.859974812745</c:v>
                </c:pt>
                <c:pt idx="47">
                  <c:v>18132.165041645199</c:v>
                </c:pt>
                <c:pt idx="48">
                  <c:v>17736.13554610854</c:v>
                </c:pt>
                <c:pt idx="49">
                  <c:v>18517.297458472774</c:v>
                </c:pt>
                <c:pt idx="50">
                  <c:v>18524.575524999858</c:v>
                </c:pt>
                <c:pt idx="51">
                  <c:v>18622.787786063534</c:v>
                </c:pt>
                <c:pt idx="52">
                  <c:v>18994.943861271484</c:v>
                </c:pt>
                <c:pt idx="53">
                  <c:v>19373.339166031281</c:v>
                </c:pt>
                <c:pt idx="54">
                  <c:v>19090.256124390231</c:v>
                </c:pt>
                <c:pt idx="55">
                  <c:v>19825.28970964114</c:v>
                </c:pt>
                <c:pt idx="56">
                  <c:v>19361.362853351315</c:v>
                </c:pt>
                <c:pt idx="57">
                  <c:v>19935.531441652038</c:v>
                </c:pt>
                <c:pt idx="58">
                  <c:v>20396.007754671449</c:v>
                </c:pt>
                <c:pt idx="59">
                  <c:v>20285.860467683993</c:v>
                </c:pt>
                <c:pt idx="60">
                  <c:v>19942.690205349503</c:v>
                </c:pt>
                <c:pt idx="61">
                  <c:v>20942.406867433991</c:v>
                </c:pt>
                <c:pt idx="62">
                  <c:v>20648.558856753472</c:v>
                </c:pt>
                <c:pt idx="63">
                  <c:v>20843.204068555602</c:v>
                </c:pt>
                <c:pt idx="64">
                  <c:v>21077.014102292575</c:v>
                </c:pt>
                <c:pt idx="65">
                  <c:v>20654.598039877474</c:v>
                </c:pt>
                <c:pt idx="66">
                  <c:v>21072.026127080419</c:v>
                </c:pt>
                <c:pt idx="67">
                  <c:v>19909.950248985449</c:v>
                </c:pt>
                <c:pt idx="68">
                  <c:v>19314.016216716573</c:v>
                </c:pt>
                <c:pt idx="69">
                  <c:v>20785.585849111649</c:v>
                </c:pt>
                <c:pt idx="70">
                  <c:v>20889.802453878026</c:v>
                </c:pt>
                <c:pt idx="71">
                  <c:v>20376.782418865077</c:v>
                </c:pt>
                <c:pt idx="72">
                  <c:v>19460.673287035628</c:v>
                </c:pt>
                <c:pt idx="73">
                  <c:v>19470.966775401335</c:v>
                </c:pt>
                <c:pt idx="74">
                  <c:v>20646.41112712567</c:v>
                </c:pt>
                <c:pt idx="75">
                  <c:v>20865.464098045046</c:v>
                </c:pt>
                <c:pt idx="76">
                  <c:v>21191.25492982502</c:v>
                </c:pt>
                <c:pt idx="77">
                  <c:v>21200.666938630333</c:v>
                </c:pt>
                <c:pt idx="78">
                  <c:v>22059.864822077117</c:v>
                </c:pt>
                <c:pt idx="79">
                  <c:v>22094.615200071734</c:v>
                </c:pt>
                <c:pt idx="80">
                  <c:v>22040.857710079483</c:v>
                </c:pt>
                <c:pt idx="81">
                  <c:v>21678.810926118018</c:v>
                </c:pt>
                <c:pt idx="82">
                  <c:v>22500.043946246424</c:v>
                </c:pt>
                <c:pt idx="83">
                  <c:v>22774.620081486755</c:v>
                </c:pt>
                <c:pt idx="84">
                  <c:v>23299.784642194099</c:v>
                </c:pt>
                <c:pt idx="85">
                  <c:v>24084.745453326832</c:v>
                </c:pt>
                <c:pt idx="86">
                  <c:v>24000.056078660091</c:v>
                </c:pt>
                <c:pt idx="87">
                  <c:v>24345.572990690089</c:v>
                </c:pt>
                <c:pt idx="88">
                  <c:v>24584.983648362086</c:v>
                </c:pt>
                <c:pt idx="89">
                  <c:v>24692.999787772278</c:v>
                </c:pt>
                <c:pt idx="90">
                  <c:v>25224.835027523019</c:v>
                </c:pt>
                <c:pt idx="91">
                  <c:v>25286.647498647013</c:v>
                </c:pt>
                <c:pt idx="92">
                  <c:v>25735.491073663761</c:v>
                </c:pt>
                <c:pt idx="93">
                  <c:v>26338.663797361129</c:v>
                </c:pt>
                <c:pt idx="94">
                  <c:v>27054.610199993142</c:v>
                </c:pt>
                <c:pt idx="95">
                  <c:v>27225.507583710245</c:v>
                </c:pt>
                <c:pt idx="96">
                  <c:v>28612.623299660903</c:v>
                </c:pt>
                <c:pt idx="97">
                  <c:v>27607.89497457413</c:v>
                </c:pt>
                <c:pt idx="98">
                  <c:v>27041.152792508434</c:v>
                </c:pt>
                <c:pt idx="99">
                  <c:v>27224.317117411232</c:v>
                </c:pt>
                <c:pt idx="100">
                  <c:v>27911.47703404614</c:v>
                </c:pt>
                <c:pt idx="101">
                  <c:v>27979.059067261853</c:v>
                </c:pt>
                <c:pt idx="102">
                  <c:v>28930.955311434187</c:v>
                </c:pt>
                <c:pt idx="103">
                  <c:v>29844.584794011524</c:v>
                </c:pt>
                <c:pt idx="104">
                  <c:v>29751.683262115919</c:v>
                </c:pt>
                <c:pt idx="105">
                  <c:v>27859.714867225124</c:v>
                </c:pt>
                <c:pt idx="106">
                  <c:v>28383.580974440469</c:v>
                </c:pt>
                <c:pt idx="107">
                  <c:v>25948.937181847086</c:v>
                </c:pt>
                <c:pt idx="108">
                  <c:v>28134.132447527212</c:v>
                </c:pt>
                <c:pt idx="109">
                  <c:v>29026.061356308837</c:v>
                </c:pt>
                <c:pt idx="110">
                  <c:v>29311.75090607554</c:v>
                </c:pt>
                <c:pt idx="111">
                  <c:v>30493.493342940437</c:v>
                </c:pt>
                <c:pt idx="112">
                  <c:v>28779.633048191863</c:v>
                </c:pt>
                <c:pt idx="113">
                  <c:v>30546.424837187114</c:v>
                </c:pt>
                <c:pt idx="114">
                  <c:v>31041.669862575709</c:v>
                </c:pt>
                <c:pt idx="115">
                  <c:v>30546.654977596849</c:v>
                </c:pt>
                <c:pt idx="116">
                  <c:v>30891.927081467977</c:v>
                </c:pt>
                <c:pt idx="117">
                  <c:v>31616.554852038298</c:v>
                </c:pt>
                <c:pt idx="118">
                  <c:v>32693.333285397912</c:v>
                </c:pt>
                <c:pt idx="119">
                  <c:v>33345.811671143478</c:v>
                </c:pt>
                <c:pt idx="120">
                  <c:v>33569.791294137154</c:v>
                </c:pt>
                <c:pt idx="121">
                  <c:v>31202.992550550738</c:v>
                </c:pt>
                <c:pt idx="122">
                  <c:v>27138.549793740996</c:v>
                </c:pt>
                <c:pt idx="123">
                  <c:v>30558.886147792917</c:v>
                </c:pt>
                <c:pt idx="124">
                  <c:v>32063.809614765625</c:v>
                </c:pt>
                <c:pt idx="125">
                  <c:v>32613.848959958894</c:v>
                </c:pt>
                <c:pt idx="126">
                  <c:v>34489.92063693102</c:v>
                </c:pt>
                <c:pt idx="127">
                  <c:v>36662.932350271687</c:v>
                </c:pt>
                <c:pt idx="128">
                  <c:v>35362.764073762832</c:v>
                </c:pt>
                <c:pt idx="129">
                  <c:v>34849.683723912502</c:v>
                </c:pt>
                <c:pt idx="130">
                  <c:v>38595.504996327458</c:v>
                </c:pt>
                <c:pt idx="131">
                  <c:v>40066.173926442338</c:v>
                </c:pt>
                <c:pt idx="132">
                  <c:v>40075.239224566227</c:v>
                </c:pt>
                <c:pt idx="133">
                  <c:v>41140.143173973302</c:v>
                </c:pt>
                <c:pt idx="134">
                  <c:v>42311.51643182832</c:v>
                </c:pt>
                <c:pt idx="135">
                  <c:v>44396.706301083505</c:v>
                </c:pt>
                <c:pt idx="136">
                  <c:v>44588.069389422584</c:v>
                </c:pt>
                <c:pt idx="137">
                  <c:v>45497.856278590501</c:v>
                </c:pt>
                <c:pt idx="138">
                  <c:v>46390.397342396318</c:v>
                </c:pt>
                <c:pt idx="139">
                  <c:v>47575.098518874853</c:v>
                </c:pt>
                <c:pt idx="140">
                  <c:v>45486.737822184186</c:v>
                </c:pt>
                <c:pt idx="141">
                  <c:v>48366.12333314828</c:v>
                </c:pt>
                <c:pt idx="142">
                  <c:v>47739.252820186077</c:v>
                </c:pt>
                <c:pt idx="143">
                  <c:v>49180.151334727801</c:v>
                </c:pt>
                <c:pt idx="144">
                  <c:v>46568.646541686241</c:v>
                </c:pt>
                <c:pt idx="145">
                  <c:v>45464.770995940678</c:v>
                </c:pt>
                <c:pt idx="146">
                  <c:v>46543.173103094807</c:v>
                </c:pt>
                <c:pt idx="147">
                  <c:v>42647.769814305662</c:v>
                </c:pt>
                <c:pt idx="148">
                  <c:v>42589.962786440818</c:v>
                </c:pt>
                <c:pt idx="149">
                  <c:v>39224.21274406914</c:v>
                </c:pt>
                <c:pt idx="150">
                  <c:v>42771.315738902347</c:v>
                </c:pt>
                <c:pt idx="151">
                  <c:v>41215.334296825044</c:v>
                </c:pt>
                <c:pt idx="152">
                  <c:v>37476.624237583987</c:v>
                </c:pt>
                <c:pt idx="153">
                  <c:v>40324.161534437313</c:v>
                </c:pt>
                <c:pt idx="154">
                  <c:v>42347.813271580613</c:v>
                </c:pt>
                <c:pt idx="155">
                  <c:v>39900.551450986764</c:v>
                </c:pt>
                <c:pt idx="156">
                  <c:v>42722.827023107828</c:v>
                </c:pt>
                <c:pt idx="157">
                  <c:v>41675.413580026427</c:v>
                </c:pt>
                <c:pt idx="158">
                  <c:v>42647.37501100704</c:v>
                </c:pt>
                <c:pt idx="159">
                  <c:v>43242.03873658066</c:v>
                </c:pt>
                <c:pt idx="160">
                  <c:v>43358.701058882922</c:v>
                </c:pt>
                <c:pt idx="161">
                  <c:v>45815.362100517763</c:v>
                </c:pt>
                <c:pt idx="162">
                  <c:v>47484.572155456641</c:v>
                </c:pt>
                <c:pt idx="163">
                  <c:v>46626.586218065167</c:v>
                </c:pt>
                <c:pt idx="164">
                  <c:v>44350.072571614917</c:v>
                </c:pt>
                <c:pt idx="165">
                  <c:v>43369.454535566198</c:v>
                </c:pt>
                <c:pt idx="166">
                  <c:v>47240.585668556538</c:v>
                </c:pt>
                <c:pt idx="167">
                  <c:v>49454.919609184428</c:v>
                </c:pt>
                <c:pt idx="168">
                  <c:v>50165.385089226402</c:v>
                </c:pt>
                <c:pt idx="169">
                  <c:v>52474.378116888329</c:v>
                </c:pt>
                <c:pt idx="170">
                  <c:v>53887.345240605187</c:v>
                </c:pt>
                <c:pt idx="171">
                  <c:v>51813.623976976902</c:v>
                </c:pt>
                <c:pt idx="172">
                  <c:v>54118.46431307531</c:v>
                </c:pt>
                <c:pt idx="173">
                  <c:v>55489.004776871268</c:v>
                </c:pt>
                <c:pt idx="174">
                  <c:v>56743.466552460122</c:v>
                </c:pt>
                <c:pt idx="175">
                  <c:v>57916.018097701359</c:v>
                </c:pt>
                <c:pt idx="176">
                  <c:v>58887.210381074474</c:v>
                </c:pt>
                <c:pt idx="177">
                  <c:v>58506.794850847538</c:v>
                </c:pt>
                <c:pt idx="178">
                  <c:v>62095.016428969873</c:v>
                </c:pt>
                <c:pt idx="179">
                  <c:v>60100.196492043542</c:v>
                </c:pt>
                <c:pt idx="180">
                  <c:v>61993.070003716908</c:v>
                </c:pt>
                <c:pt idx="181">
                  <c:v>61052.760159267884</c:v>
                </c:pt>
                <c:pt idx="182">
                  <c:v>57657.079875416523</c:v>
                </c:pt>
                <c:pt idx="183">
                  <c:v>57477.566790483907</c:v>
                </c:pt>
                <c:pt idx="184">
                  <c:v>60673.662529374109</c:v>
                </c:pt>
                <c:pt idx="185">
                  <c:v>63411.475185521354</c:v>
                </c:pt>
                <c:pt idx="186">
                  <c:v>64878.57295145504</c:v>
                </c:pt>
                <c:pt idx="187">
                  <c:v>66326.048622263639</c:v>
                </c:pt>
                <c:pt idx="188">
                  <c:v>68268.914346812817</c:v>
                </c:pt>
                <c:pt idx="189">
                  <c:v>69843.51457765454</c:v>
                </c:pt>
                <c:pt idx="190">
                  <c:v>70051.572403155107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9-FA4B-9F07-D717FC4EBC46}"/>
            </c:ext>
          </c:extLst>
        </c:ser>
        <c:ser>
          <c:idx val="1"/>
          <c:order val="1"/>
          <c:tx>
            <c:strRef>
              <c:f>Portfolio_Values!$C$1</c:f>
              <c:strCache>
                <c:ptCount val="1"/>
                <c:pt idx="0">
                  <c:v>Balanced_Value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Portfolio_Values!$A$2:$A$192</c:f>
              <c:numCache>
                <c:formatCode>m/d/yy</c:formatCode>
                <c:ptCount val="19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</c:numCache>
            </c:numRef>
          </c:cat>
          <c:val>
            <c:numRef>
              <c:f>Portfolio_Values!$C$2:$C$192</c:f>
              <c:numCache>
                <c:formatCode>General</c:formatCode>
                <c:ptCount val="191"/>
                <c:pt idx="0">
                  <c:v>10000</c:v>
                </c:pt>
                <c:pt idx="1">
                  <c:v>10207.14354883673</c:v>
                </c:pt>
                <c:pt idx="2">
                  <c:v>10564.307019767106</c:v>
                </c:pt>
                <c:pt idx="3">
                  <c:v>10772.06152622232</c:v>
                </c:pt>
                <c:pt idx="4">
                  <c:v>10311.961828996982</c:v>
                </c:pt>
                <c:pt idx="5">
                  <c:v>9982.9897220452895</c:v>
                </c:pt>
                <c:pt idx="6">
                  <c:v>10468.568106572906</c:v>
                </c:pt>
                <c:pt idx="7">
                  <c:v>10238.659902782776</c:v>
                </c:pt>
                <c:pt idx="8">
                  <c:v>10785.491714167298</c:v>
                </c:pt>
                <c:pt idx="9">
                  <c:v>11093.709585049524</c:v>
                </c:pt>
                <c:pt idx="10">
                  <c:v>11097.166630225556</c:v>
                </c:pt>
                <c:pt idx="11">
                  <c:v>11445.638814132884</c:v>
                </c:pt>
                <c:pt idx="12">
                  <c:v>11674.473976426278</c:v>
                </c:pt>
                <c:pt idx="13">
                  <c:v>11934.36509321598</c:v>
                </c:pt>
                <c:pt idx="14">
                  <c:v>11927.980641121787</c:v>
                </c:pt>
                <c:pt idx="15">
                  <c:v>12234.422709026976</c:v>
                </c:pt>
                <c:pt idx="16">
                  <c:v>12214.554805010455</c:v>
                </c:pt>
                <c:pt idx="17">
                  <c:v>12034.840952877285</c:v>
                </c:pt>
                <c:pt idx="18">
                  <c:v>11979.183243001577</c:v>
                </c:pt>
                <c:pt idx="19">
                  <c:v>11621.734068300912</c:v>
                </c:pt>
                <c:pt idx="20">
                  <c:v>11090.775896826412</c:v>
                </c:pt>
                <c:pt idx="21">
                  <c:v>11891.124222981114</c:v>
                </c:pt>
                <c:pt idx="22">
                  <c:v>11862.927459147137</c:v>
                </c:pt>
                <c:pt idx="23">
                  <c:v>11913.617807878483</c:v>
                </c:pt>
                <c:pt idx="24">
                  <c:v>12395.38634837437</c:v>
                </c:pt>
                <c:pt idx="25">
                  <c:v>12698.072758703256</c:v>
                </c:pt>
                <c:pt idx="26">
                  <c:v>12873.150226209222</c:v>
                </c:pt>
                <c:pt idx="27">
                  <c:v>12907.913457346594</c:v>
                </c:pt>
                <c:pt idx="28">
                  <c:v>12481.337078847617</c:v>
                </c:pt>
                <c:pt idx="29">
                  <c:v>12747.571517397191</c:v>
                </c:pt>
                <c:pt idx="30">
                  <c:v>12916.363485663305</c:v>
                </c:pt>
                <c:pt idx="31">
                  <c:v>13134.696092669903</c:v>
                </c:pt>
                <c:pt idx="32">
                  <c:v>13300.44305826295</c:v>
                </c:pt>
                <c:pt idx="33">
                  <c:v>13190.442673464662</c:v>
                </c:pt>
                <c:pt idx="34">
                  <c:v>13265.918320126062</c:v>
                </c:pt>
                <c:pt idx="35">
                  <c:v>13251.459211087047</c:v>
                </c:pt>
                <c:pt idx="36">
                  <c:v>13719.891043843849</c:v>
                </c:pt>
                <c:pt idx="37">
                  <c:v>13843.056492165919</c:v>
                </c:pt>
                <c:pt idx="38">
                  <c:v>14136.760649715801</c:v>
                </c:pt>
                <c:pt idx="39">
                  <c:v>14359.847935448626</c:v>
                </c:pt>
                <c:pt idx="40">
                  <c:v>14469.468507226598</c:v>
                </c:pt>
                <c:pt idx="41">
                  <c:v>14208.519532238539</c:v>
                </c:pt>
                <c:pt idx="42">
                  <c:v>14761.52070615804</c:v>
                </c:pt>
                <c:pt idx="43">
                  <c:v>14443.297920808032</c:v>
                </c:pt>
                <c:pt idx="44">
                  <c:v>14801.696908596035</c:v>
                </c:pt>
                <c:pt idx="45">
                  <c:v>15275.352621861484</c:v>
                </c:pt>
                <c:pt idx="46">
                  <c:v>15505.360651754663</c:v>
                </c:pt>
                <c:pt idx="47">
                  <c:v>15651.558358034403</c:v>
                </c:pt>
                <c:pt idx="48">
                  <c:v>15531.542974966644</c:v>
                </c:pt>
                <c:pt idx="49">
                  <c:v>16001.032789288907</c:v>
                </c:pt>
                <c:pt idx="50">
                  <c:v>15996.01362426111</c:v>
                </c:pt>
                <c:pt idx="51">
                  <c:v>16094.063446072731</c:v>
                </c:pt>
                <c:pt idx="52">
                  <c:v>16366.499816355614</c:v>
                </c:pt>
                <c:pt idx="53">
                  <c:v>16588.488865338946</c:v>
                </c:pt>
                <c:pt idx="54">
                  <c:v>16411.881918135867</c:v>
                </c:pt>
                <c:pt idx="55">
                  <c:v>16895.521076791923</c:v>
                </c:pt>
                <c:pt idx="56">
                  <c:v>16599.727951944678</c:v>
                </c:pt>
                <c:pt idx="57">
                  <c:v>16968.167575191696</c:v>
                </c:pt>
                <c:pt idx="58">
                  <c:v>17276.013610210233</c:v>
                </c:pt>
                <c:pt idx="59">
                  <c:v>17190.787957357505</c:v>
                </c:pt>
                <c:pt idx="60">
                  <c:v>17174.246757273104</c:v>
                </c:pt>
                <c:pt idx="61">
                  <c:v>17661.81734653021</c:v>
                </c:pt>
                <c:pt idx="62">
                  <c:v>17529.582324603929</c:v>
                </c:pt>
                <c:pt idx="63">
                  <c:v>17618.684947699971</c:v>
                </c:pt>
                <c:pt idx="64">
                  <c:v>17723.406798090244</c:v>
                </c:pt>
                <c:pt idx="65">
                  <c:v>17420.245880515275</c:v>
                </c:pt>
                <c:pt idx="66">
                  <c:v>17706.366816686921</c:v>
                </c:pt>
                <c:pt idx="67">
                  <c:v>17039.751351886993</c:v>
                </c:pt>
                <c:pt idx="68">
                  <c:v>16745.943696555929</c:v>
                </c:pt>
                <c:pt idx="69">
                  <c:v>17598.384672684926</c:v>
                </c:pt>
                <c:pt idx="70">
                  <c:v>17634.030252531888</c:v>
                </c:pt>
                <c:pt idx="71">
                  <c:v>17318.11724362359</c:v>
                </c:pt>
                <c:pt idx="72">
                  <c:v>16896.83059079164</c:v>
                </c:pt>
                <c:pt idx="73">
                  <c:v>16938.657357522592</c:v>
                </c:pt>
                <c:pt idx="74">
                  <c:v>17671.675744252156</c:v>
                </c:pt>
                <c:pt idx="75">
                  <c:v>17819.402785000508</c:v>
                </c:pt>
                <c:pt idx="76">
                  <c:v>18004.889451000956</c:v>
                </c:pt>
                <c:pt idx="77">
                  <c:v>18131.349170502064</c:v>
                </c:pt>
                <c:pt idx="78">
                  <c:v>18658.229644411356</c:v>
                </c:pt>
                <c:pt idx="79">
                  <c:v>18658.412828352597</c:v>
                </c:pt>
                <c:pt idx="80">
                  <c:v>18634.963480890783</c:v>
                </c:pt>
                <c:pt idx="81">
                  <c:v>18372.616355241851</c:v>
                </c:pt>
                <c:pt idx="82">
                  <c:v>18679.032327921374</c:v>
                </c:pt>
                <c:pt idx="83">
                  <c:v>18835.032184411626</c:v>
                </c:pt>
                <c:pt idx="84">
                  <c:v>19165.242240099193</c:v>
                </c:pt>
                <c:pt idx="85">
                  <c:v>19621.382110569055</c:v>
                </c:pt>
                <c:pt idx="86">
                  <c:v>19574.337583758974</c:v>
                </c:pt>
                <c:pt idx="87">
                  <c:v>19812.396217222893</c:v>
                </c:pt>
                <c:pt idx="88">
                  <c:v>19989.546671147182</c:v>
                </c:pt>
                <c:pt idx="89">
                  <c:v>20051.253555244926</c:v>
                </c:pt>
                <c:pt idx="90">
                  <c:v>20366.588428658935</c:v>
                </c:pt>
                <c:pt idx="91">
                  <c:v>20472.42262119638</c:v>
                </c:pt>
                <c:pt idx="92">
                  <c:v>20696.640582935048</c:v>
                </c:pt>
                <c:pt idx="93">
                  <c:v>21017.872535174924</c:v>
                </c:pt>
                <c:pt idx="94">
                  <c:v>21391.099495641356</c:v>
                </c:pt>
                <c:pt idx="95">
                  <c:v>21502.336126539896</c:v>
                </c:pt>
                <c:pt idx="96">
                  <c:v>22176.891075611198</c:v>
                </c:pt>
                <c:pt idx="97">
                  <c:v>21564.936899932971</c:v>
                </c:pt>
                <c:pt idx="98">
                  <c:v>21320.069671686233</c:v>
                </c:pt>
                <c:pt idx="99">
                  <c:v>21352.421364598238</c:v>
                </c:pt>
                <c:pt idx="100">
                  <c:v>21761.588583729994</c:v>
                </c:pt>
                <c:pt idx="101">
                  <c:v>21793.275015027495</c:v>
                </c:pt>
                <c:pt idx="102">
                  <c:v>22302.512039984042</c:v>
                </c:pt>
                <c:pt idx="103">
                  <c:v>22821.344177418443</c:v>
                </c:pt>
                <c:pt idx="104">
                  <c:v>22732.226655847804</c:v>
                </c:pt>
                <c:pt idx="105">
                  <c:v>21702.777560740884</c:v>
                </c:pt>
                <c:pt idx="106">
                  <c:v>22019.72269035556</c:v>
                </c:pt>
                <c:pt idx="107">
                  <c:v>20880.067104597296</c:v>
                </c:pt>
                <c:pt idx="108">
                  <c:v>22164.900694496722</c:v>
                </c:pt>
                <c:pt idx="109">
                  <c:v>22608.475275378372</c:v>
                </c:pt>
                <c:pt idx="110">
                  <c:v>22903.843593663438</c:v>
                </c:pt>
                <c:pt idx="111">
                  <c:v>23515.992049915141</c:v>
                </c:pt>
                <c:pt idx="112">
                  <c:v>22779.015356914257</c:v>
                </c:pt>
                <c:pt idx="113">
                  <c:v>23806.820567206003</c:v>
                </c:pt>
                <c:pt idx="114">
                  <c:v>24075.738461905024</c:v>
                </c:pt>
                <c:pt idx="115">
                  <c:v>24042.35026343862</c:v>
                </c:pt>
                <c:pt idx="116">
                  <c:v>24179.129018730309</c:v>
                </c:pt>
                <c:pt idx="117">
                  <c:v>24582.56334697258</c:v>
                </c:pt>
                <c:pt idx="118">
                  <c:v>25137.209416811111</c:v>
                </c:pt>
                <c:pt idx="119">
                  <c:v>25446.598573041774</c:v>
                </c:pt>
                <c:pt idx="120">
                  <c:v>25766.542581951915</c:v>
                </c:pt>
                <c:pt idx="121">
                  <c:v>24680.029564028664</c:v>
                </c:pt>
                <c:pt idx="122">
                  <c:v>22420.357014774127</c:v>
                </c:pt>
                <c:pt idx="123">
                  <c:v>24508.417889912202</c:v>
                </c:pt>
                <c:pt idx="124">
                  <c:v>25369.611909249517</c:v>
                </c:pt>
                <c:pt idx="125">
                  <c:v>25716.747745662033</c:v>
                </c:pt>
                <c:pt idx="126">
                  <c:v>26829.229055826796</c:v>
                </c:pt>
                <c:pt idx="127">
                  <c:v>27872.34305046621</c:v>
                </c:pt>
                <c:pt idx="128">
                  <c:v>27204.726516316714</c:v>
                </c:pt>
                <c:pt idx="129">
                  <c:v>26890.801080035661</c:v>
                </c:pt>
                <c:pt idx="130">
                  <c:v>28927.078629267453</c:v>
                </c:pt>
                <c:pt idx="131">
                  <c:v>29645.311522863918</c:v>
                </c:pt>
                <c:pt idx="132">
                  <c:v>29613.067477129262</c:v>
                </c:pt>
                <c:pt idx="133">
                  <c:v>29969.37931518101</c:v>
                </c:pt>
                <c:pt idx="134">
                  <c:v>30412.365561369454</c:v>
                </c:pt>
                <c:pt idx="135">
                  <c:v>31490.847368759867</c:v>
                </c:pt>
                <c:pt idx="136">
                  <c:v>31605.635845238692</c:v>
                </c:pt>
                <c:pt idx="137">
                  <c:v>32130.022941654348</c:v>
                </c:pt>
                <c:pt idx="138">
                  <c:v>32675.681114886396</c:v>
                </c:pt>
                <c:pt idx="139">
                  <c:v>33210.244393087843</c:v>
                </c:pt>
                <c:pt idx="140">
                  <c:v>32126.18607517314</c:v>
                </c:pt>
                <c:pt idx="141">
                  <c:v>33490.602294227618</c:v>
                </c:pt>
                <c:pt idx="142">
                  <c:v>33223.762912359925</c:v>
                </c:pt>
                <c:pt idx="143">
                  <c:v>33822.361506597088</c:v>
                </c:pt>
                <c:pt idx="144">
                  <c:v>32445.182711732275</c:v>
                </c:pt>
                <c:pt idx="145">
                  <c:v>31791.30657777634</c:v>
                </c:pt>
                <c:pt idx="146">
                  <c:v>32003.428472936503</c:v>
                </c:pt>
                <c:pt idx="147">
                  <c:v>29784.142933826897</c:v>
                </c:pt>
                <c:pt idx="148">
                  <c:v>29846.097036727573</c:v>
                </c:pt>
                <c:pt idx="149">
                  <c:v>28107.440161270595</c:v>
                </c:pt>
                <c:pt idx="150">
                  <c:v>30024.576766287628</c:v>
                </c:pt>
                <c:pt idx="151">
                  <c:v>29017.086897178157</c:v>
                </c:pt>
                <c:pt idx="152">
                  <c:v>26855.991918361993</c:v>
                </c:pt>
                <c:pt idx="153">
                  <c:v>28111.880676688157</c:v>
                </c:pt>
                <c:pt idx="154">
                  <c:v>29394.865981683728</c:v>
                </c:pt>
                <c:pt idx="155">
                  <c:v>28161.31275551362</c:v>
                </c:pt>
                <c:pt idx="156">
                  <c:v>29845.588507681721</c:v>
                </c:pt>
                <c:pt idx="157">
                  <c:v>29068.511815949973</c:v>
                </c:pt>
                <c:pt idx="158">
                  <c:v>29780.733947033197</c:v>
                </c:pt>
                <c:pt idx="159">
                  <c:v>30114.278554930712</c:v>
                </c:pt>
                <c:pt idx="160">
                  <c:v>30052.906324854437</c:v>
                </c:pt>
                <c:pt idx="161">
                  <c:v>31163.847485470149</c:v>
                </c:pt>
                <c:pt idx="162">
                  <c:v>31908.187210784068</c:v>
                </c:pt>
                <c:pt idx="163">
                  <c:v>31452.801461933268</c:v>
                </c:pt>
                <c:pt idx="164">
                  <c:v>30167.920499987886</c:v>
                </c:pt>
                <c:pt idx="165">
                  <c:v>29570.387437716512</c:v>
                </c:pt>
                <c:pt idx="166">
                  <c:v>31775.409205397762</c:v>
                </c:pt>
                <c:pt idx="167">
                  <c:v>33115.024301347679</c:v>
                </c:pt>
                <c:pt idx="168">
                  <c:v>33477.735380904698</c:v>
                </c:pt>
                <c:pt idx="169">
                  <c:v>34319.888530431737</c:v>
                </c:pt>
                <c:pt idx="170">
                  <c:v>35035.019027787181</c:v>
                </c:pt>
                <c:pt idx="171">
                  <c:v>33852.748507758311</c:v>
                </c:pt>
                <c:pt idx="172">
                  <c:v>35044.940045210424</c:v>
                </c:pt>
                <c:pt idx="173">
                  <c:v>35739.433478046129</c:v>
                </c:pt>
                <c:pt idx="174">
                  <c:v>36558.206513891993</c:v>
                </c:pt>
                <c:pt idx="175">
                  <c:v>37239.668876785174</c:v>
                </c:pt>
                <c:pt idx="176">
                  <c:v>37820.384780013308</c:v>
                </c:pt>
                <c:pt idx="177">
                  <c:v>37349.199302505294</c:v>
                </c:pt>
                <c:pt idx="178">
                  <c:v>39005.426388443986</c:v>
                </c:pt>
                <c:pt idx="179">
                  <c:v>37912.35264189075</c:v>
                </c:pt>
                <c:pt idx="180">
                  <c:v>38862.822303317662</c:v>
                </c:pt>
                <c:pt idx="181">
                  <c:v>38706.288101137747</c:v>
                </c:pt>
                <c:pt idx="182">
                  <c:v>37276.553446276892</c:v>
                </c:pt>
                <c:pt idx="183">
                  <c:v>37244.759640445918</c:v>
                </c:pt>
                <c:pt idx="184">
                  <c:v>38543.42537543318</c:v>
                </c:pt>
                <c:pt idx="185">
                  <c:v>39895.611549444191</c:v>
                </c:pt>
                <c:pt idx="186">
                  <c:v>40477.594118322595</c:v>
                </c:pt>
                <c:pt idx="187">
                  <c:v>41234.276691248</c:v>
                </c:pt>
                <c:pt idx="188">
                  <c:v>42191.456260120875</c:v>
                </c:pt>
                <c:pt idx="189">
                  <c:v>42926.704390435247</c:v>
                </c:pt>
                <c:pt idx="190">
                  <c:v>43095.529855844419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E9-FA4B-9F07-D717FC4EBC46}"/>
            </c:ext>
          </c:extLst>
        </c:ser>
        <c:ser>
          <c:idx val="2"/>
          <c:order val="2"/>
          <c:tx>
            <c:strRef>
              <c:f>Portfolio_Values!$D$1</c:f>
              <c:strCache>
                <c:ptCount val="1"/>
                <c:pt idx="0">
                  <c:v>Preservation_Value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Portfolio_Values!$A$2:$A$192</c:f>
              <c:numCache>
                <c:formatCode>m/d/yy</c:formatCode>
                <c:ptCount val="19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</c:numCache>
            </c:numRef>
          </c:cat>
          <c:val>
            <c:numRef>
              <c:f>Portfolio_Values!$D$2:$D$192</c:f>
              <c:numCache>
                <c:formatCode>General</c:formatCode>
                <c:ptCount val="191"/>
                <c:pt idx="0">
                  <c:v>10000</c:v>
                </c:pt>
                <c:pt idx="1">
                  <c:v>10104.574381195987</c:v>
                </c:pt>
                <c:pt idx="2">
                  <c:v>10271.23270740208</c:v>
                </c:pt>
                <c:pt idx="3">
                  <c:v>10425.874659162782</c:v>
                </c:pt>
                <c:pt idx="4">
                  <c:v>10262.291079275776</c:v>
                </c:pt>
                <c:pt idx="5">
                  <c:v>10173.239503743243</c:v>
                </c:pt>
                <c:pt idx="6">
                  <c:v>10465.99267437317</c:v>
                </c:pt>
                <c:pt idx="7">
                  <c:v>10432.471251554885</c:v>
                </c:pt>
                <c:pt idx="8">
                  <c:v>10711.062747213131</c:v>
                </c:pt>
                <c:pt idx="9">
                  <c:v>10881.325302960795</c:v>
                </c:pt>
                <c:pt idx="10">
                  <c:v>10845.074547470727</c:v>
                </c:pt>
                <c:pt idx="11">
                  <c:v>10921.683059946658</c:v>
                </c:pt>
                <c:pt idx="12">
                  <c:v>11090.988022731668</c:v>
                </c:pt>
                <c:pt idx="13">
                  <c:v>11214.438949486455</c:v>
                </c:pt>
                <c:pt idx="14">
                  <c:v>11203.94014343898</c:v>
                </c:pt>
                <c:pt idx="15">
                  <c:v>11429.312528785023</c:v>
                </c:pt>
                <c:pt idx="16">
                  <c:v>11487.922804337632</c:v>
                </c:pt>
                <c:pt idx="17">
                  <c:v>11382.002652713269</c:v>
                </c:pt>
                <c:pt idx="18">
                  <c:v>11448.297893025296</c:v>
                </c:pt>
                <c:pt idx="19">
                  <c:v>11372.316909694087</c:v>
                </c:pt>
                <c:pt idx="20">
                  <c:v>11151.657924135707</c:v>
                </c:pt>
                <c:pt idx="21">
                  <c:v>11560.044814485245</c:v>
                </c:pt>
                <c:pt idx="22">
                  <c:v>11543.224172073382</c:v>
                </c:pt>
                <c:pt idx="23">
                  <c:v>11594.856449496545</c:v>
                </c:pt>
                <c:pt idx="24">
                  <c:v>11922.635239597299</c:v>
                </c:pt>
                <c:pt idx="25">
                  <c:v>12055.611990907159</c:v>
                </c:pt>
                <c:pt idx="26">
                  <c:v>12108.944243482527</c:v>
                </c:pt>
                <c:pt idx="27">
                  <c:v>12185.409337059971</c:v>
                </c:pt>
                <c:pt idx="28">
                  <c:v>12048.238455365905</c:v>
                </c:pt>
                <c:pt idx="29">
                  <c:v>12180.922870672975</c:v>
                </c:pt>
                <c:pt idx="30">
                  <c:v>12336.640723071305</c:v>
                </c:pt>
                <c:pt idx="31">
                  <c:v>12450.427980874851</c:v>
                </c:pt>
                <c:pt idx="32">
                  <c:v>12540.709642180133</c:v>
                </c:pt>
                <c:pt idx="33">
                  <c:v>12483.492749176869</c:v>
                </c:pt>
                <c:pt idx="34">
                  <c:v>12535.223419155282</c:v>
                </c:pt>
                <c:pt idx="35">
                  <c:v>12461.021395956859</c:v>
                </c:pt>
                <c:pt idx="36">
                  <c:v>12651.177837269184</c:v>
                </c:pt>
                <c:pt idx="37">
                  <c:v>12728.79306040882</c:v>
                </c:pt>
                <c:pt idx="38">
                  <c:v>12869.321609456538</c:v>
                </c:pt>
                <c:pt idx="39">
                  <c:v>13025.282829886599</c:v>
                </c:pt>
                <c:pt idx="40">
                  <c:v>12960.194804719416</c:v>
                </c:pt>
                <c:pt idx="41">
                  <c:v>12736.080782549223</c:v>
                </c:pt>
                <c:pt idx="42">
                  <c:v>13007.617208705828</c:v>
                </c:pt>
                <c:pt idx="43">
                  <c:v>12812.313214031024</c:v>
                </c:pt>
                <c:pt idx="44">
                  <c:v>13041.974973190896</c:v>
                </c:pt>
                <c:pt idx="45">
                  <c:v>13305.754131418393</c:v>
                </c:pt>
                <c:pt idx="46">
                  <c:v>13386.184648450779</c:v>
                </c:pt>
                <c:pt idx="47">
                  <c:v>13387.178659242247</c:v>
                </c:pt>
                <c:pt idx="48">
                  <c:v>13474.267169618757</c:v>
                </c:pt>
                <c:pt idx="49">
                  <c:v>13695.417303999724</c:v>
                </c:pt>
                <c:pt idx="50">
                  <c:v>13681.442546176635</c:v>
                </c:pt>
                <c:pt idx="51">
                  <c:v>13776.631922734759</c:v>
                </c:pt>
                <c:pt idx="52">
                  <c:v>13967.735892120407</c:v>
                </c:pt>
                <c:pt idx="53">
                  <c:v>14068.393045081964</c:v>
                </c:pt>
                <c:pt idx="54">
                  <c:v>13974.406042938024</c:v>
                </c:pt>
                <c:pt idx="55">
                  <c:v>14259.967556323405</c:v>
                </c:pt>
                <c:pt idx="56">
                  <c:v>14094.357673081331</c:v>
                </c:pt>
                <c:pt idx="57">
                  <c:v>14302.047374425116</c:v>
                </c:pt>
                <c:pt idx="58">
                  <c:v>14490.646371634852</c:v>
                </c:pt>
                <c:pt idx="59">
                  <c:v>14425.932266076927</c:v>
                </c:pt>
                <c:pt idx="60">
                  <c:v>14642.210112154904</c:v>
                </c:pt>
                <c:pt idx="61">
                  <c:v>14739.577741954241</c:v>
                </c:pt>
                <c:pt idx="62">
                  <c:v>14725.680248045785</c:v>
                </c:pt>
                <c:pt idx="63">
                  <c:v>14736.56835798358</c:v>
                </c:pt>
                <c:pt idx="64">
                  <c:v>14746.442198978835</c:v>
                </c:pt>
                <c:pt idx="65">
                  <c:v>14537.504589461656</c:v>
                </c:pt>
                <c:pt idx="66">
                  <c:v>14721.248570374673</c:v>
                </c:pt>
                <c:pt idx="67">
                  <c:v>14424.631652466936</c:v>
                </c:pt>
                <c:pt idx="68">
                  <c:v>14358.94906166172</c:v>
                </c:pt>
                <c:pt idx="69">
                  <c:v>14726.780154075735</c:v>
                </c:pt>
                <c:pt idx="70">
                  <c:v>14712.599996943536</c:v>
                </c:pt>
                <c:pt idx="71">
                  <c:v>14546.766464792114</c:v>
                </c:pt>
                <c:pt idx="72">
                  <c:v>14493.027365628483</c:v>
                </c:pt>
                <c:pt idx="73">
                  <c:v>14557.11413786397</c:v>
                </c:pt>
                <c:pt idx="74">
                  <c:v>14938.229322440298</c:v>
                </c:pt>
                <c:pt idx="75">
                  <c:v>15029.492037689281</c:v>
                </c:pt>
                <c:pt idx="76">
                  <c:v>15107.714927743091</c:v>
                </c:pt>
                <c:pt idx="77">
                  <c:v>15313.226961275082</c:v>
                </c:pt>
                <c:pt idx="78">
                  <c:v>15582.605752984586</c:v>
                </c:pt>
                <c:pt idx="79">
                  <c:v>15558.364822220152</c:v>
                </c:pt>
                <c:pt idx="80">
                  <c:v>15557.112637448645</c:v>
                </c:pt>
                <c:pt idx="81">
                  <c:v>15374.62342422648</c:v>
                </c:pt>
                <c:pt idx="82">
                  <c:v>15305.036276941184</c:v>
                </c:pt>
                <c:pt idx="83">
                  <c:v>15373.906574198389</c:v>
                </c:pt>
                <c:pt idx="84">
                  <c:v>15558.457868169386</c:v>
                </c:pt>
                <c:pt idx="85">
                  <c:v>15774.893518460782</c:v>
                </c:pt>
                <c:pt idx="86">
                  <c:v>15754.71864371952</c:v>
                </c:pt>
                <c:pt idx="87">
                  <c:v>15911.116364554966</c:v>
                </c:pt>
                <c:pt idx="88">
                  <c:v>16039.184011115203</c:v>
                </c:pt>
                <c:pt idx="89">
                  <c:v>16067.739106092065</c:v>
                </c:pt>
                <c:pt idx="90">
                  <c:v>16227.050556328521</c:v>
                </c:pt>
                <c:pt idx="91">
                  <c:v>16355.933290705672</c:v>
                </c:pt>
                <c:pt idx="92">
                  <c:v>16423.878601225773</c:v>
                </c:pt>
                <c:pt idx="93">
                  <c:v>16548.774841624316</c:v>
                </c:pt>
                <c:pt idx="94">
                  <c:v>16686.67351557182</c:v>
                </c:pt>
                <c:pt idx="95">
                  <c:v>16754.81381296413</c:v>
                </c:pt>
                <c:pt idx="96">
                  <c:v>16952.409328155689</c:v>
                </c:pt>
                <c:pt idx="97">
                  <c:v>16612.113569673307</c:v>
                </c:pt>
                <c:pt idx="98">
                  <c:v>16575.874391155121</c:v>
                </c:pt>
                <c:pt idx="99">
                  <c:v>16513.902472527254</c:v>
                </c:pt>
                <c:pt idx="100">
                  <c:v>16729.978109968168</c:v>
                </c:pt>
                <c:pt idx="101">
                  <c:v>16738.189921911762</c:v>
                </c:pt>
                <c:pt idx="102">
                  <c:v>16950.960280786432</c:v>
                </c:pt>
                <c:pt idx="103">
                  <c:v>17204.328619331045</c:v>
                </c:pt>
                <c:pt idx="104">
                  <c:v>17123.516940983947</c:v>
                </c:pt>
                <c:pt idx="105">
                  <c:v>16661.527879807654</c:v>
                </c:pt>
                <c:pt idx="106">
                  <c:v>16834.875753055563</c:v>
                </c:pt>
                <c:pt idx="107">
                  <c:v>16536.29624342762</c:v>
                </c:pt>
                <c:pt idx="108">
                  <c:v>17178.840441873308</c:v>
                </c:pt>
                <c:pt idx="109">
                  <c:v>17321.806560646095</c:v>
                </c:pt>
                <c:pt idx="110">
                  <c:v>17603.917676541416</c:v>
                </c:pt>
                <c:pt idx="111">
                  <c:v>17835.188056006529</c:v>
                </c:pt>
                <c:pt idx="112">
                  <c:v>17719.711705856578</c:v>
                </c:pt>
                <c:pt idx="113">
                  <c:v>18230.944110863602</c:v>
                </c:pt>
                <c:pt idx="114">
                  <c:v>18347.235736075505</c:v>
                </c:pt>
                <c:pt idx="115">
                  <c:v>18588.927350313428</c:v>
                </c:pt>
                <c:pt idx="116">
                  <c:v>18590.322355933065</c:v>
                </c:pt>
                <c:pt idx="117">
                  <c:v>18774.619277241349</c:v>
                </c:pt>
                <c:pt idx="118">
                  <c:v>18982.41182247804</c:v>
                </c:pt>
                <c:pt idx="119">
                  <c:v>19070.841276966086</c:v>
                </c:pt>
                <c:pt idx="120">
                  <c:v>19422.306092680239</c:v>
                </c:pt>
                <c:pt idx="121">
                  <c:v>19153.669290773276</c:v>
                </c:pt>
                <c:pt idx="122">
                  <c:v>18141.218134202391</c:v>
                </c:pt>
                <c:pt idx="123">
                  <c:v>19233.906114727866</c:v>
                </c:pt>
                <c:pt idx="124">
                  <c:v>19638.40926609893</c:v>
                </c:pt>
                <c:pt idx="125">
                  <c:v>19838.951759979525</c:v>
                </c:pt>
                <c:pt idx="126">
                  <c:v>20414.167612259906</c:v>
                </c:pt>
                <c:pt idx="127">
                  <c:v>20715.384101755622</c:v>
                </c:pt>
                <c:pt idx="128">
                  <c:v>20457.631743340851</c:v>
                </c:pt>
                <c:pt idx="129">
                  <c:v>20282.316271700671</c:v>
                </c:pt>
                <c:pt idx="130">
                  <c:v>21173.983765741472</c:v>
                </c:pt>
                <c:pt idx="131">
                  <c:v>21418.617414578068</c:v>
                </c:pt>
                <c:pt idx="132">
                  <c:v>21367.178893270226</c:v>
                </c:pt>
                <c:pt idx="133">
                  <c:v>21313.587536566483</c:v>
                </c:pt>
                <c:pt idx="134">
                  <c:v>21336.815822810127</c:v>
                </c:pt>
                <c:pt idx="135">
                  <c:v>21798.588254547947</c:v>
                </c:pt>
                <c:pt idx="136">
                  <c:v>21863.547530521053</c:v>
                </c:pt>
                <c:pt idx="137">
                  <c:v>22142.938987768452</c:v>
                </c:pt>
                <c:pt idx="138">
                  <c:v>22460.65506000015</c:v>
                </c:pt>
                <c:pt idx="139">
                  <c:v>22621.960677626226</c:v>
                </c:pt>
                <c:pt idx="140">
                  <c:v>22138.111196340193</c:v>
                </c:pt>
                <c:pt idx="141">
                  <c:v>22617.166979548016</c:v>
                </c:pt>
                <c:pt idx="142">
                  <c:v>22549.898147300824</c:v>
                </c:pt>
                <c:pt idx="143">
                  <c:v>22681.853076848653</c:v>
                </c:pt>
                <c:pt idx="144">
                  <c:v>22039.158125079706</c:v>
                </c:pt>
                <c:pt idx="145">
                  <c:v>21673.258499132298</c:v>
                </c:pt>
                <c:pt idx="146">
                  <c:v>21448.401421377199</c:v>
                </c:pt>
                <c:pt idx="147">
                  <c:v>20268.823429903841</c:v>
                </c:pt>
                <c:pt idx="148">
                  <c:v>20380.619363194117</c:v>
                </c:pt>
                <c:pt idx="149">
                  <c:v>19616.726850637813</c:v>
                </c:pt>
                <c:pt idx="150">
                  <c:v>20518.771048949453</c:v>
                </c:pt>
                <c:pt idx="151">
                  <c:v>19888.189723829331</c:v>
                </c:pt>
                <c:pt idx="152">
                  <c:v>18729.868906234056</c:v>
                </c:pt>
                <c:pt idx="153">
                  <c:v>19058.502204626446</c:v>
                </c:pt>
                <c:pt idx="154">
                  <c:v>19841.663565200193</c:v>
                </c:pt>
                <c:pt idx="155">
                  <c:v>19322.997039828133</c:v>
                </c:pt>
                <c:pt idx="156">
                  <c:v>20267.57344445631</c:v>
                </c:pt>
                <c:pt idx="157">
                  <c:v>19709.06695072394</c:v>
                </c:pt>
                <c:pt idx="158">
                  <c:v>20215.211967562595</c:v>
                </c:pt>
                <c:pt idx="159">
                  <c:v>20386.157669113556</c:v>
                </c:pt>
                <c:pt idx="160">
                  <c:v>20248.064958610794</c:v>
                </c:pt>
                <c:pt idx="161">
                  <c:v>20597.816909332792</c:v>
                </c:pt>
                <c:pt idx="162">
                  <c:v>20831.314236566741</c:v>
                </c:pt>
                <c:pt idx="163">
                  <c:v>20613.110919769439</c:v>
                </c:pt>
                <c:pt idx="164">
                  <c:v>19935.397295470564</c:v>
                </c:pt>
                <c:pt idx="165">
                  <c:v>19586.469035811726</c:v>
                </c:pt>
                <c:pt idx="166">
                  <c:v>20759.263044785541</c:v>
                </c:pt>
                <c:pt idx="167">
                  <c:v>21536.576513956665</c:v>
                </c:pt>
                <c:pt idx="168">
                  <c:v>21698.966882572171</c:v>
                </c:pt>
                <c:pt idx="169">
                  <c:v>21791.917069040363</c:v>
                </c:pt>
                <c:pt idx="170">
                  <c:v>22113.295676394944</c:v>
                </c:pt>
                <c:pt idx="171">
                  <c:v>21471.827443581449</c:v>
                </c:pt>
                <c:pt idx="172">
                  <c:v>22029.035766094901</c:v>
                </c:pt>
                <c:pt idx="173">
                  <c:v>22344.263041279148</c:v>
                </c:pt>
                <c:pt idx="174">
                  <c:v>22862.909884548702</c:v>
                </c:pt>
                <c:pt idx="175">
                  <c:v>23242.819916144133</c:v>
                </c:pt>
                <c:pt idx="176">
                  <c:v>23577.959340621073</c:v>
                </c:pt>
                <c:pt idx="177">
                  <c:v>23142.782340681839</c:v>
                </c:pt>
                <c:pt idx="178">
                  <c:v>23775.94022706063</c:v>
                </c:pt>
                <c:pt idx="179">
                  <c:v>23207.17258352755</c:v>
                </c:pt>
                <c:pt idx="180">
                  <c:v>23639.871980231914</c:v>
                </c:pt>
                <c:pt idx="181">
                  <c:v>23808.004734900416</c:v>
                </c:pt>
                <c:pt idx="182">
                  <c:v>23373.334655604187</c:v>
                </c:pt>
                <c:pt idx="183">
                  <c:v>23406.23559915704</c:v>
                </c:pt>
                <c:pt idx="184">
                  <c:v>23736.985883746715</c:v>
                </c:pt>
                <c:pt idx="185">
                  <c:v>24331.377113007969</c:v>
                </c:pt>
                <c:pt idx="186">
                  <c:v>24478.317017761146</c:v>
                </c:pt>
                <c:pt idx="187">
                  <c:v>24847.381247908372</c:v>
                </c:pt>
                <c:pt idx="188">
                  <c:v>25273.110136639611</c:v>
                </c:pt>
                <c:pt idx="189">
                  <c:v>25571.036270337576</c:v>
                </c:pt>
                <c:pt idx="190">
                  <c:v>25695.997852734938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E9-FA4B-9F07-D717FC4EB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498912"/>
        <c:axId val="630380832"/>
      </c:lineChart>
      <c:dateAx>
        <c:axId val="63049891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380832"/>
        <c:crosses val="autoZero"/>
        <c:auto val="1"/>
        <c:lblOffset val="100"/>
        <c:baseTimeUnit val="months"/>
      </c:dateAx>
      <c:valAx>
        <c:axId val="63038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49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8</xdr:col>
      <xdr:colOff>38100</xdr:colOff>
      <xdr:row>23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576BAE-8A9F-C3FF-8D42-EB10E4A14016}"/>
            </a:ext>
          </a:extLst>
        </xdr:cNvPr>
        <xdr:cNvSpPr txBox="1"/>
      </xdr:nvSpPr>
      <xdr:spPr>
        <a:xfrm>
          <a:off x="25400" y="25400"/>
          <a:ext cx="6616700" cy="483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Capital Preservation vs Capital Growth</a:t>
          </a:r>
        </a:p>
        <a:p>
          <a:r>
            <a:rPr lang="en-US" b="1"/>
            <a:t>Portfolio Risk Analysis Model</a:t>
          </a:r>
        </a:p>
        <a:p>
          <a:br>
            <a:rPr lang="en-US"/>
          </a:br>
          <a:r>
            <a:rPr lang="en-US"/>
            <a:t>Created</a:t>
          </a:r>
          <a:r>
            <a:rPr lang="en-US" baseline="0"/>
            <a:t> by : Dipekshya Karki</a:t>
          </a:r>
          <a:br>
            <a:rPr lang="en-US"/>
          </a:br>
          <a:endParaRPr lang="en-US"/>
        </a:p>
        <a:p>
          <a:r>
            <a:rPr lang="en-US" b="1"/>
            <a:t>1. Project Overview</a:t>
          </a:r>
        </a:p>
        <a:p>
          <a:r>
            <a:rPr lang="en-US"/>
            <a:t>This Excel model evaluates the trade-off between capital growth and capital preservation by comparing portfolios with varying allocations to equities and bonds. The analysis focuses on downside risk, drawdowns, and long-term compounding behavior rather than returns alone.</a:t>
          </a:r>
        </a:p>
        <a:p>
          <a:br>
            <a:rPr lang="en-US"/>
          </a:br>
          <a:endParaRPr lang="en-US"/>
        </a:p>
        <a:p>
          <a:r>
            <a:rPr lang="en-US" b="1"/>
            <a:t>2. Data Description</a:t>
          </a:r>
        </a:p>
        <a:p>
          <a:r>
            <a:rPr lang="en-US" b="1"/>
            <a:t>Frequency:</a:t>
          </a:r>
          <a:r>
            <a:rPr lang="en-US"/>
            <a:t> Monthly</a:t>
          </a:r>
        </a:p>
        <a:p>
          <a:r>
            <a:rPr lang="en-US" b="1"/>
            <a:t>Time Period:</a:t>
          </a:r>
          <a:r>
            <a:rPr lang="en-US"/>
            <a:t> 2010–2026</a:t>
          </a:r>
        </a:p>
        <a:p>
          <a:r>
            <a:rPr lang="en-US" b="1"/>
            <a:t>Equity Proxy:</a:t>
          </a:r>
          <a:r>
            <a:rPr lang="en-US"/>
            <a:t> Broad U.S. equity market ETF</a:t>
          </a:r>
        </a:p>
        <a:p>
          <a:r>
            <a:rPr lang="en-US" b="1"/>
            <a:t>Bond Proxy:</a:t>
          </a:r>
          <a:r>
            <a:rPr lang="en-US"/>
            <a:t> Broad U.S. bond market ETF</a:t>
          </a:r>
        </a:p>
        <a:p>
          <a:r>
            <a:rPr lang="en-US" b="1"/>
            <a:t>Prices Used:</a:t>
          </a:r>
          <a:r>
            <a:rPr lang="en-US"/>
            <a:t> Adjusted closing prices</a:t>
          </a:r>
        </a:p>
        <a:p>
          <a:r>
            <a:rPr lang="en-US"/>
            <a:t>Data is used for analytical and educational purposes only.</a:t>
          </a:r>
        </a:p>
        <a:p>
          <a:br>
            <a:rPr lang="en-US"/>
          </a:br>
          <a:endParaRPr lang="en-US"/>
        </a:p>
        <a:p>
          <a:r>
            <a:rPr lang="en-US" b="1"/>
            <a:t>3. Portfolio Definitions</a:t>
          </a:r>
        </a:p>
        <a:p>
          <a:r>
            <a:rPr lang="en-US" b="1"/>
            <a:t>Growth Portfolio:</a:t>
          </a:r>
          <a:r>
            <a:rPr lang="en-US"/>
            <a:t> 90% Equity / 10% Bonds</a:t>
          </a:r>
        </a:p>
        <a:p>
          <a:r>
            <a:rPr lang="en-US" b="1"/>
            <a:t>Balanced Portfolio:</a:t>
          </a:r>
          <a:r>
            <a:rPr lang="en-US"/>
            <a:t> 60% Equity / 40% Bonds</a:t>
          </a:r>
        </a:p>
        <a:p>
          <a:r>
            <a:rPr lang="en-US" b="1"/>
            <a:t>Preservation Portfolio:</a:t>
          </a:r>
          <a:r>
            <a:rPr lang="en-US"/>
            <a:t> 30% Equity / 70% Bonds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368300</xdr:colOff>
      <xdr:row>10</xdr:row>
      <xdr:rowOff>190500</xdr:rowOff>
    </xdr:from>
    <xdr:to>
      <xdr:col>20</xdr:col>
      <xdr:colOff>762000</xdr:colOff>
      <xdr:row>34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51E5F-9D3B-714C-AF99-BF4FB8FC6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</xdr:row>
      <xdr:rowOff>0</xdr:rowOff>
    </xdr:from>
    <xdr:to>
      <xdr:col>7</xdr:col>
      <xdr:colOff>101600</xdr:colOff>
      <xdr:row>18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E275D8-A562-AB1F-F708-2200449DB7CD}"/>
            </a:ext>
          </a:extLst>
        </xdr:cNvPr>
        <xdr:cNvSpPr txBox="1"/>
      </xdr:nvSpPr>
      <xdr:spPr>
        <a:xfrm>
          <a:off x="25400" y="203200"/>
          <a:ext cx="5854700" cy="360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Model Assumptions</a:t>
          </a:r>
        </a:p>
        <a:p>
          <a:r>
            <a:rPr lang="en-US"/>
            <a:t>Monthly total return data.</a:t>
          </a:r>
        </a:p>
        <a:p>
          <a:r>
            <a:rPr lang="en-US"/>
            <a:t>Static asset allocations (Growth, Balanced, Preservation).</a:t>
          </a:r>
        </a:p>
        <a:p>
          <a:r>
            <a:rPr lang="en-US"/>
            <a:t>Implicit monthly rebalancing.</a:t>
          </a:r>
        </a:p>
        <a:p>
          <a:r>
            <a:rPr lang="en-US"/>
            <a:t>No leverage or derivatives.</a:t>
          </a:r>
        </a:p>
        <a:p>
          <a:r>
            <a:rPr lang="en-US"/>
            <a:t>No transaction costs, taxes, or management fees.</a:t>
          </a:r>
        </a:p>
        <a:p>
          <a:r>
            <a:rPr lang="en-US"/>
            <a:t>All portfolios start with a $10,000 initial investment.</a:t>
          </a:r>
        </a:p>
        <a:p>
          <a:endParaRPr lang="en-US" sz="1100"/>
        </a:p>
        <a:p>
          <a:r>
            <a:rPr lang="en-US" b="1"/>
            <a:t>Limitations</a:t>
          </a:r>
        </a:p>
        <a:p>
          <a:r>
            <a:rPr lang="en-US"/>
            <a:t>Historical performance does not guarantee future results.</a:t>
          </a:r>
        </a:p>
        <a:p>
          <a:r>
            <a:rPr lang="en-US"/>
            <a:t>Results are sensitive to the chosen time period.</a:t>
          </a:r>
        </a:p>
        <a:p>
          <a:r>
            <a:rPr lang="en-US"/>
            <a:t>Analysis limited to U.S. equities and bonds.</a:t>
          </a:r>
        </a:p>
        <a:p>
          <a:r>
            <a:rPr lang="en-US"/>
            <a:t>Inflation effects not explicitly modeled.</a:t>
          </a:r>
        </a:p>
        <a:p>
          <a:r>
            <a:rPr lang="en-US"/>
            <a:t>Behavioral responses not considered.</a:t>
          </a:r>
        </a:p>
        <a:p>
          <a:endParaRPr lang="en-US" sz="1100"/>
        </a:p>
        <a:p>
          <a:r>
            <a:rPr lang="en-US" b="1"/>
            <a:t>Intended Use</a:t>
          </a:r>
        </a:p>
        <a:p>
          <a:r>
            <a:rPr lang="en-US"/>
            <a:t>Educational portfolio analysis.</a:t>
          </a:r>
        </a:p>
        <a:p>
          <a:r>
            <a:rPr lang="en-US"/>
            <a:t>Comparison of downside risk across asset allocations.</a:t>
          </a:r>
        </a:p>
        <a:p>
          <a:r>
            <a:rPr lang="en-US"/>
            <a:t>Demonstration of drawdown dynamics and regime-dependent behavior.</a:t>
          </a: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FBF9A-3BAD-6047-B05C-6D57BFB1A73E}" name="Table1" displayName="Table1" ref="A1:D5" totalsRowShown="0" dataDxfId="7" dataCellStyle="Percent">
  <autoFilter ref="A1:D5" xr:uid="{F6CFBF9A-3BAD-6047-B05C-6D57BFB1A73E}"/>
  <tableColumns count="4">
    <tableColumn id="1" xr3:uid="{C4E67EC8-259A-BE48-9B7C-F67B75BB330D}" name="Metric"/>
    <tableColumn id="2" xr3:uid="{9094E115-E15D-6A44-908A-9F379260746A}" name="Growth" dataDxfId="6" dataCellStyle="Percent"/>
    <tableColumn id="3" xr3:uid="{E4A585D8-7E6E-714B-B7D8-687C78105080}" name="Balanced" dataDxfId="5" dataCellStyle="Percent"/>
    <tableColumn id="4" xr3:uid="{990284CE-51BC-C54B-A123-D4EEF8BEBBA6}" name="Preservation" dataDxfId="4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5F5C26-987E-3444-9F6F-9C7D2FBB8EBF}" name="Table2" displayName="Table2" ref="A7:D10" totalsRowShown="0" dataDxfId="3" dataCellStyle="Percent">
  <autoFilter ref="A7:D10" xr:uid="{635F5C26-987E-3444-9F6F-9C7D2FBB8EBF}"/>
  <tableColumns count="4">
    <tableColumn id="1" xr3:uid="{A26D1CDD-5567-894D-B735-4710AE9238CB}" name="Regime"/>
    <tableColumn id="2" xr3:uid="{066B33F7-BAE5-F04A-8E18-5DCC3D00EDC7}" name="Growth Max" dataDxfId="2" dataCellStyle="Percent"/>
    <tableColumn id="3" xr3:uid="{E66F444B-0140-0746-B81E-A0B775B9F78C}" name="Balanced Max" dataDxfId="1" dataCellStyle="Percent"/>
    <tableColumn id="4" xr3:uid="{CAA636DD-2EFC-3A4C-9002-41C742FD8771}" name="Preservation Max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B56B-730F-0048-9F35-0C199B83C487}">
  <dimension ref="A1"/>
  <sheetViews>
    <sheetView tabSelected="1" workbookViewId="0">
      <selection activeCell="K11" sqref="K1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36C5-4195-D640-BD73-936FE94C331B}">
  <dimension ref="A1:R198"/>
  <sheetViews>
    <sheetView workbookViewId="0">
      <selection activeCell="M3" sqref="M3"/>
    </sheetView>
  </sheetViews>
  <sheetFormatPr baseColWidth="10" defaultRowHeight="16" x14ac:dyDescent="0.2"/>
  <cols>
    <col min="1" max="1" width="12.33203125" bestFit="1" customWidth="1"/>
    <col min="2" max="2" width="11" bestFit="1" customWidth="1"/>
    <col min="4" max="4" width="10.83203125" style="1"/>
    <col min="5" max="5" width="13" customWidth="1"/>
    <col min="6" max="6" width="14.6640625" customWidth="1"/>
    <col min="7" max="7" width="16" customWidth="1"/>
    <col min="8" max="8" width="17.33203125" customWidth="1"/>
    <col min="9" max="9" width="13.33203125" customWidth="1"/>
    <col min="10" max="10" width="13.1640625" customWidth="1"/>
    <col min="11" max="12" width="15" customWidth="1"/>
    <col min="13" max="15" width="17.6640625" customWidth="1"/>
    <col min="16" max="16" width="17.83203125" customWidth="1"/>
    <col min="17" max="17" width="22.5" customWidth="1"/>
  </cols>
  <sheetData>
    <row r="1" spans="1:18" x14ac:dyDescent="0.2">
      <c r="A1" s="4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14</v>
      </c>
      <c r="K1" s="2" t="s">
        <v>9</v>
      </c>
      <c r="L1" s="2" t="s">
        <v>15</v>
      </c>
      <c r="M1" s="2" t="s">
        <v>10</v>
      </c>
      <c r="N1" s="2" t="s">
        <v>16</v>
      </c>
      <c r="O1" t="s">
        <v>11</v>
      </c>
      <c r="P1" s="2" t="s">
        <v>12</v>
      </c>
      <c r="Q1" s="2" t="s">
        <v>13</v>
      </c>
      <c r="R1" s="2"/>
    </row>
    <row r="2" spans="1:18" x14ac:dyDescent="0.2">
      <c r="A2" s="4">
        <v>40179</v>
      </c>
      <c r="B2" s="2">
        <v>41</v>
      </c>
      <c r="C2" s="2">
        <v>49.87</v>
      </c>
      <c r="D2" s="3">
        <v>0</v>
      </c>
      <c r="E2" s="3">
        <v>0</v>
      </c>
      <c r="F2">
        <f>0.9*D2+0.1*E2</f>
        <v>0</v>
      </c>
      <c r="G2">
        <f>0.6*D2+0.4*E2</f>
        <v>0</v>
      </c>
      <c r="H2">
        <f>0.3*D2+0.7*E2</f>
        <v>0</v>
      </c>
      <c r="I2">
        <v>10000</v>
      </c>
      <c r="J2">
        <v>10000</v>
      </c>
      <c r="K2">
        <v>10000</v>
      </c>
      <c r="L2">
        <v>10000</v>
      </c>
      <c r="M2">
        <v>10000</v>
      </c>
      <c r="N2">
        <v>10000</v>
      </c>
      <c r="O2">
        <v>0</v>
      </c>
      <c r="P2">
        <f>(K2/L2)-1</f>
        <v>0</v>
      </c>
      <c r="Q2">
        <f>(M2/N2)-1</f>
        <v>0</v>
      </c>
    </row>
    <row r="3" spans="1:18" x14ac:dyDescent="0.2">
      <c r="A3" s="4">
        <v>40210</v>
      </c>
      <c r="B3" s="2">
        <v>42.41</v>
      </c>
      <c r="C3" s="2">
        <v>49.88</v>
      </c>
      <c r="D3" s="3">
        <f>B3/B2-1</f>
        <v>3.4390243902438833E-2</v>
      </c>
      <c r="E3" s="3">
        <f>C3/C2-1</f>
        <v>2.0052135552450778E-4</v>
      </c>
      <c r="F3">
        <f>0.9*D3+0.1*E3</f>
        <v>3.0971271647747402E-2</v>
      </c>
      <c r="G3">
        <f>0.6*D3+0.4*E3</f>
        <v>2.0714354883673101E-2</v>
      </c>
      <c r="H3">
        <f>0.3*D3+0.7*E3</f>
        <v>1.0457438119598804E-2</v>
      </c>
      <c r="I3">
        <f>I2*(1+F3)</f>
        <v>10309.712716477476</v>
      </c>
      <c r="J3">
        <f>MAX(J2,I3)</f>
        <v>10309.712716477476</v>
      </c>
      <c r="K3">
        <f>K2*(1+G3)</f>
        <v>10207.14354883673</v>
      </c>
      <c r="L3">
        <f>MAX(L2,K3)</f>
        <v>10207.14354883673</v>
      </c>
      <c r="M3">
        <f>M2*(1+H3)</f>
        <v>10104.574381195987</v>
      </c>
      <c r="N3">
        <f>MAX(N2,M3)</f>
        <v>10104.574381195987</v>
      </c>
      <c r="O3">
        <f>(I3/J3)-1</f>
        <v>0</v>
      </c>
      <c r="P3">
        <f t="shared" ref="P3:P66" si="0">(K3/L3)-1</f>
        <v>0</v>
      </c>
      <c r="Q3">
        <f t="shared" ref="Q3:Q66" si="1">(M3/N3)-1</f>
        <v>0</v>
      </c>
    </row>
    <row r="4" spans="1:18" x14ac:dyDescent="0.2">
      <c r="A4" s="4">
        <v>40238</v>
      </c>
      <c r="B4" s="2">
        <v>44.94</v>
      </c>
      <c r="C4" s="2">
        <v>49.78</v>
      </c>
      <c r="D4" s="3">
        <f>B4/B3-1</f>
        <v>5.9655741570384446E-2</v>
      </c>
      <c r="E4" s="3">
        <f t="shared" ref="E4:E67" si="2">C4/C3-1</f>
        <v>-2.0048115477145911E-3</v>
      </c>
      <c r="F4">
        <f t="shared" ref="F4:F67" si="3">0.9*D4+0.1*E4</f>
        <v>5.3489686258574538E-2</v>
      </c>
      <c r="G4">
        <f t="shared" ref="G4:G66" si="4">0.6*D4+0.4*E4</f>
        <v>3.4991520323144835E-2</v>
      </c>
      <c r="H4">
        <f t="shared" ref="H4:H67" si="5">0.3*D4+0.7*E4</f>
        <v>1.6493354387715122E-2</v>
      </c>
      <c r="I4">
        <f>I3*(1+F4)</f>
        <v>10861.176015097892</v>
      </c>
      <c r="J4">
        <f t="shared" ref="J4:J67" si="6">MAX(J3,I4)</f>
        <v>10861.176015097892</v>
      </c>
      <c r="K4">
        <f>K3*(1+G4)</f>
        <v>10564.307019767106</v>
      </c>
      <c r="L4">
        <f t="shared" ref="L4:L67" si="7">MAX(L3,K4)</f>
        <v>10564.307019767106</v>
      </c>
      <c r="M4">
        <f t="shared" ref="M4:M67" si="8">M3*(1+H4)</f>
        <v>10271.23270740208</v>
      </c>
      <c r="N4">
        <f t="shared" ref="N4:N67" si="9">MAX(N3,M4)</f>
        <v>10271.23270740208</v>
      </c>
      <c r="O4">
        <f>(I4/J4)-1</f>
        <v>0</v>
      </c>
      <c r="P4">
        <f t="shared" si="0"/>
        <v>0</v>
      </c>
      <c r="Q4">
        <f t="shared" si="1"/>
        <v>0</v>
      </c>
    </row>
    <row r="5" spans="1:18" x14ac:dyDescent="0.2">
      <c r="A5" s="4">
        <v>40269</v>
      </c>
      <c r="B5" s="2">
        <v>46.1</v>
      </c>
      <c r="C5" s="2">
        <v>50.3</v>
      </c>
      <c r="D5" s="3">
        <f>B5/B4-1</f>
        <v>2.5812194036493263E-2</v>
      </c>
      <c r="E5" s="3">
        <f t="shared" si="2"/>
        <v>1.0445962233828876E-2</v>
      </c>
      <c r="F5">
        <f t="shared" si="3"/>
        <v>2.4275570856226825E-2</v>
      </c>
      <c r="G5">
        <f t="shared" si="4"/>
        <v>1.9665701315427508E-2</v>
      </c>
      <c r="H5">
        <f t="shared" si="5"/>
        <v>1.505583177462819E-2</v>
      </c>
      <c r="I5">
        <f>I4*(1+F5)</f>
        <v>11124.837263034351</v>
      </c>
      <c r="J5">
        <f t="shared" ref="J5:J11" si="10">MAX(J4,I5)</f>
        <v>11124.837263034351</v>
      </c>
      <c r="K5">
        <f t="shared" ref="K5:K67" si="11">K4*(1+G5)</f>
        <v>10772.06152622232</v>
      </c>
      <c r="L5">
        <f t="shared" si="7"/>
        <v>10772.06152622232</v>
      </c>
      <c r="M5">
        <f>M4*(1+H5)</f>
        <v>10425.874659162782</v>
      </c>
      <c r="N5">
        <f t="shared" si="9"/>
        <v>10425.874659162782</v>
      </c>
      <c r="O5">
        <f>(I5/J5)-1</f>
        <v>0</v>
      </c>
      <c r="P5">
        <f t="shared" si="0"/>
        <v>0</v>
      </c>
      <c r="Q5">
        <f t="shared" si="1"/>
        <v>0</v>
      </c>
    </row>
    <row r="6" spans="1:18" x14ac:dyDescent="0.2">
      <c r="A6" s="4">
        <v>40299</v>
      </c>
      <c r="B6" s="2">
        <v>42.47</v>
      </c>
      <c r="C6" s="2">
        <v>50.87</v>
      </c>
      <c r="D6" s="3">
        <f t="shared" ref="D6:D67" si="12">B6/B5-1</f>
        <v>-7.8741865509761477E-2</v>
      </c>
      <c r="E6" s="3">
        <f t="shared" si="2"/>
        <v>1.1332007952286283E-2</v>
      </c>
      <c r="F6">
        <f t="shared" si="3"/>
        <v>-6.9734478163556698E-2</v>
      </c>
      <c r="G6">
        <f t="shared" si="4"/>
        <v>-4.2712316124942369E-2</v>
      </c>
      <c r="H6">
        <f t="shared" si="5"/>
        <v>-1.5690154086328047E-2</v>
      </c>
      <c r="I6">
        <f t="shared" ref="I6:I69" si="13">I5*(1+F6)</f>
        <v>10349.05254184216</v>
      </c>
      <c r="J6">
        <f t="shared" si="10"/>
        <v>11124.837263034351</v>
      </c>
      <c r="K6">
        <f t="shared" si="11"/>
        <v>10311.961828996982</v>
      </c>
      <c r="L6">
        <f t="shared" si="7"/>
        <v>10772.06152622232</v>
      </c>
      <c r="M6">
        <f t="shared" si="8"/>
        <v>10262.291079275776</v>
      </c>
      <c r="N6">
        <f t="shared" si="9"/>
        <v>10425.874659162782</v>
      </c>
      <c r="O6">
        <f>(I6/J6)-1</f>
        <v>-6.9734478163556712E-2</v>
      </c>
      <c r="P6">
        <f>(K6/L6)-1</f>
        <v>-4.2712316124942418E-2</v>
      </c>
      <c r="Q6">
        <f>(M6/N6)-1</f>
        <v>-1.5690154086328012E-2</v>
      </c>
    </row>
    <row r="7" spans="1:18" x14ac:dyDescent="0.2">
      <c r="A7" s="4">
        <v>40330</v>
      </c>
      <c r="B7" s="2">
        <v>39.799999999999997</v>
      </c>
      <c r="C7" s="2">
        <v>51.61</v>
      </c>
      <c r="D7" s="3">
        <f t="shared" si="12"/>
        <v>-6.2867906757711367E-2</v>
      </c>
      <c r="E7" s="3">
        <f t="shared" si="2"/>
        <v>1.4546884214664768E-2</v>
      </c>
      <c r="F7">
        <f t="shared" si="3"/>
        <v>-5.5126427660473758E-2</v>
      </c>
      <c r="G7">
        <f t="shared" si="4"/>
        <v>-3.1901990368760909E-2</v>
      </c>
      <c r="H7">
        <f t="shared" si="5"/>
        <v>-8.6775530770480721E-3</v>
      </c>
      <c r="I7">
        <f t="shared" si="13"/>
        <v>9778.5462455398574</v>
      </c>
      <c r="J7">
        <f t="shared" si="10"/>
        <v>11124.837263034351</v>
      </c>
      <c r="K7">
        <f t="shared" si="11"/>
        <v>9982.9897220452895</v>
      </c>
      <c r="L7">
        <f t="shared" si="7"/>
        <v>10772.06152622232</v>
      </c>
      <c r="M7">
        <f t="shared" si="8"/>
        <v>10173.239503743243</v>
      </c>
      <c r="N7">
        <f t="shared" si="9"/>
        <v>10425.874659162782</v>
      </c>
      <c r="O7">
        <f t="shared" ref="O7:O66" si="14">(I7/J7)-1</f>
        <v>-0.12101669315810615</v>
      </c>
      <c r="P7">
        <f t="shared" si="0"/>
        <v>-7.3251698596058068E-2</v>
      </c>
      <c r="Q7">
        <f t="shared" si="1"/>
        <v>-2.4231555018504936E-2</v>
      </c>
    </row>
    <row r="8" spans="1:18" x14ac:dyDescent="0.2">
      <c r="A8" s="4">
        <v>40360</v>
      </c>
      <c r="B8" s="2">
        <v>42.79</v>
      </c>
      <c r="C8" s="2">
        <v>52.07</v>
      </c>
      <c r="D8" s="3">
        <f t="shared" si="12"/>
        <v>7.512562814070356E-2</v>
      </c>
      <c r="E8" s="3">
        <f t="shared" si="2"/>
        <v>8.9130013563263333E-3</v>
      </c>
      <c r="F8">
        <f t="shared" si="3"/>
        <v>6.8504365462265834E-2</v>
      </c>
      <c r="G8">
        <f t="shared" si="4"/>
        <v>4.8640577426952665E-2</v>
      </c>
      <c r="H8">
        <f t="shared" si="5"/>
        <v>2.8776789391639499E-2</v>
      </c>
      <c r="I8">
        <f t="shared" si="13"/>
        <v>10448.419351233988</v>
      </c>
      <c r="J8">
        <f t="shared" si="10"/>
        <v>11124.837263034351</v>
      </c>
      <c r="K8">
        <f t="shared" si="11"/>
        <v>10468.568106572906</v>
      </c>
      <c r="L8">
        <f t="shared" si="7"/>
        <v>10772.06152622232</v>
      </c>
      <c r="M8">
        <f t="shared" si="8"/>
        <v>10465.99267437317</v>
      </c>
      <c r="N8">
        <f t="shared" si="9"/>
        <v>10465.99267437317</v>
      </c>
      <c r="O8">
        <f t="shared" si="14"/>
        <v>-6.0802499470978044E-2</v>
      </c>
      <c r="P8">
        <f t="shared" si="0"/>
        <v>-2.8174126086322748E-2</v>
      </c>
      <c r="Q8">
        <f t="shared" si="1"/>
        <v>0</v>
      </c>
    </row>
    <row r="9" spans="1:18" x14ac:dyDescent="0.2">
      <c r="A9" s="4">
        <v>40391</v>
      </c>
      <c r="B9" s="2">
        <v>40.78</v>
      </c>
      <c r="C9" s="2">
        <v>52.88</v>
      </c>
      <c r="D9" s="3">
        <f t="shared" si="12"/>
        <v>-4.697359196073847E-2</v>
      </c>
      <c r="E9" s="3">
        <f t="shared" si="2"/>
        <v>1.5555982331476814E-2</v>
      </c>
      <c r="F9">
        <f t="shared" si="3"/>
        <v>-4.0720634531516947E-2</v>
      </c>
      <c r="G9">
        <f t="shared" si="4"/>
        <v>-2.1961762243852354E-2</v>
      </c>
      <c r="H9">
        <f t="shared" si="5"/>
        <v>-3.2028899561877718E-3</v>
      </c>
      <c r="I9">
        <f t="shared" si="13"/>
        <v>10022.953085400359</v>
      </c>
      <c r="J9">
        <f t="shared" si="10"/>
        <v>11124.837263034351</v>
      </c>
      <c r="K9">
        <f t="shared" si="11"/>
        <v>10238.659902782776</v>
      </c>
      <c r="L9">
        <f t="shared" si="7"/>
        <v>10772.06152622232</v>
      </c>
      <c r="M9">
        <f t="shared" si="8"/>
        <v>10432.471251554885</v>
      </c>
      <c r="N9">
        <f t="shared" si="9"/>
        <v>10465.99267437317</v>
      </c>
      <c r="O9">
        <f t="shared" si="14"/>
        <v>-9.904721764293456E-2</v>
      </c>
      <c r="P9">
        <f t="shared" si="0"/>
        <v>-4.9517134871639001E-2</v>
      </c>
      <c r="Q9">
        <f t="shared" si="1"/>
        <v>-3.2028899561877822E-3</v>
      </c>
    </row>
    <row r="10" spans="1:18" x14ac:dyDescent="0.2">
      <c r="A10" s="4">
        <v>40422</v>
      </c>
      <c r="B10" s="2">
        <v>44.41</v>
      </c>
      <c r="C10" s="2">
        <v>52.88</v>
      </c>
      <c r="D10" s="3">
        <f t="shared" si="12"/>
        <v>8.9014222658165609E-2</v>
      </c>
      <c r="E10" s="3">
        <f t="shared" si="2"/>
        <v>0</v>
      </c>
      <c r="F10">
        <f t="shared" si="3"/>
        <v>8.0112800392349054E-2</v>
      </c>
      <c r="G10">
        <f t="shared" si="4"/>
        <v>5.3408533594899367E-2</v>
      </c>
      <c r="H10">
        <f t="shared" si="5"/>
        <v>2.6704266797449683E-2</v>
      </c>
      <c r="I10">
        <f t="shared" si="13"/>
        <v>10825.919925272916</v>
      </c>
      <c r="J10">
        <f t="shared" si="10"/>
        <v>11124.837263034351</v>
      </c>
      <c r="K10">
        <f t="shared" si="11"/>
        <v>10785.491714167298</v>
      </c>
      <c r="L10">
        <f t="shared" si="7"/>
        <v>10785.491714167298</v>
      </c>
      <c r="M10">
        <f t="shared" si="8"/>
        <v>10711.062747213131</v>
      </c>
      <c r="N10">
        <f t="shared" si="9"/>
        <v>10711.062747213131</v>
      </c>
      <c r="O10">
        <f t="shared" si="14"/>
        <v>-2.6869367227031593E-2</v>
      </c>
      <c r="P10">
        <f t="shared" si="0"/>
        <v>0</v>
      </c>
      <c r="Q10">
        <f t="shared" si="1"/>
        <v>0</v>
      </c>
    </row>
    <row r="11" spans="1:18" x14ac:dyDescent="0.2">
      <c r="A11" s="4">
        <v>40452</v>
      </c>
      <c r="B11" s="2">
        <v>46.43</v>
      </c>
      <c r="C11" s="2">
        <v>53.05</v>
      </c>
      <c r="D11" s="3">
        <f t="shared" si="12"/>
        <v>4.5485251069578903E-2</v>
      </c>
      <c r="E11" s="3">
        <f t="shared" si="2"/>
        <v>3.2148260211799506E-3</v>
      </c>
      <c r="F11">
        <f t="shared" si="3"/>
        <v>4.1258208564739003E-2</v>
      </c>
      <c r="G11">
        <f t="shared" si="4"/>
        <v>2.8577081050219319E-2</v>
      </c>
      <c r="H11">
        <f t="shared" si="5"/>
        <v>1.5895953535699635E-2</v>
      </c>
      <c r="I11">
        <f t="shared" si="13"/>
        <v>11272.57798745499</v>
      </c>
      <c r="J11">
        <f t="shared" si="10"/>
        <v>11272.57798745499</v>
      </c>
      <c r="K11">
        <f t="shared" si="11"/>
        <v>11093.709585049524</v>
      </c>
      <c r="L11">
        <f t="shared" si="7"/>
        <v>11093.709585049524</v>
      </c>
      <c r="M11">
        <f t="shared" si="8"/>
        <v>10881.325302960795</v>
      </c>
      <c r="N11">
        <f t="shared" si="9"/>
        <v>10881.325302960795</v>
      </c>
      <c r="O11">
        <f t="shared" si="14"/>
        <v>0</v>
      </c>
      <c r="P11">
        <f t="shared" si="0"/>
        <v>0</v>
      </c>
      <c r="Q11">
        <f t="shared" si="1"/>
        <v>0</v>
      </c>
    </row>
    <row r="12" spans="1:18" x14ac:dyDescent="0.2">
      <c r="A12" s="4">
        <v>40483</v>
      </c>
      <c r="B12" s="2">
        <v>46.67</v>
      </c>
      <c r="C12" s="2">
        <v>52.68</v>
      </c>
      <c r="D12" s="3">
        <f t="shared" si="12"/>
        <v>5.1690717208701109E-3</v>
      </c>
      <c r="E12" s="3">
        <f t="shared" si="2"/>
        <v>-6.9745523091422346E-3</v>
      </c>
      <c r="F12">
        <f t="shared" si="3"/>
        <v>3.954709317868876E-3</v>
      </c>
      <c r="G12">
        <f t="shared" si="4"/>
        <v>3.116221088651722E-4</v>
      </c>
      <c r="H12">
        <f t="shared" si="5"/>
        <v>-3.3314651001385303E-3</v>
      </c>
      <c r="I12">
        <f t="shared" si="13"/>
        <v>11317.157756658382</v>
      </c>
      <c r="J12">
        <f t="shared" si="6"/>
        <v>11317.157756658382</v>
      </c>
      <c r="K12">
        <f t="shared" si="11"/>
        <v>11097.166630225556</v>
      </c>
      <c r="L12">
        <f t="shared" si="7"/>
        <v>11097.166630225556</v>
      </c>
      <c r="M12">
        <f t="shared" si="8"/>
        <v>10845.074547470727</v>
      </c>
      <c r="N12">
        <f t="shared" si="9"/>
        <v>10881.325302960795</v>
      </c>
      <c r="O12">
        <f t="shared" si="14"/>
        <v>0</v>
      </c>
      <c r="P12">
        <f t="shared" si="0"/>
        <v>0</v>
      </c>
      <c r="Q12">
        <f t="shared" si="1"/>
        <v>-3.3314651001384865E-3</v>
      </c>
    </row>
    <row r="13" spans="1:18" x14ac:dyDescent="0.2">
      <c r="A13" s="4">
        <v>40513</v>
      </c>
      <c r="B13" s="2">
        <v>49.65</v>
      </c>
      <c r="C13" s="2">
        <v>51.77</v>
      </c>
      <c r="D13" s="3">
        <f t="shared" si="12"/>
        <v>6.3852581958431465E-2</v>
      </c>
      <c r="E13" s="3">
        <f t="shared" si="2"/>
        <v>-1.727410782080474E-2</v>
      </c>
      <c r="F13">
        <f t="shared" si="3"/>
        <v>5.5739912980507844E-2</v>
      </c>
      <c r="G13">
        <f t="shared" si="4"/>
        <v>3.1401906046736983E-2</v>
      </c>
      <c r="H13">
        <f t="shared" si="5"/>
        <v>7.0638991129661211E-3</v>
      </c>
      <c r="I13">
        <f t="shared" si="13"/>
        <v>11947.975145201199</v>
      </c>
      <c r="J13">
        <f t="shared" si="6"/>
        <v>11947.975145201199</v>
      </c>
      <c r="K13">
        <f t="shared" si="11"/>
        <v>11445.638814132884</v>
      </c>
      <c r="L13">
        <f t="shared" si="7"/>
        <v>11445.638814132884</v>
      </c>
      <c r="M13">
        <f t="shared" si="8"/>
        <v>10921.683059946658</v>
      </c>
      <c r="N13">
        <f t="shared" si="9"/>
        <v>10921.683059946658</v>
      </c>
      <c r="O13">
        <f t="shared" si="14"/>
        <v>0</v>
      </c>
      <c r="P13">
        <f t="shared" si="0"/>
        <v>0</v>
      </c>
      <c r="Q13">
        <f t="shared" si="1"/>
        <v>0</v>
      </c>
    </row>
    <row r="14" spans="1:18" x14ac:dyDescent="0.2">
      <c r="A14" s="4">
        <v>40544</v>
      </c>
      <c r="B14" s="2">
        <v>50.94</v>
      </c>
      <c r="C14" s="2">
        <v>52.34</v>
      </c>
      <c r="D14" s="3">
        <f t="shared" si="12"/>
        <v>2.5981873111782461E-2</v>
      </c>
      <c r="E14" s="3">
        <f t="shared" si="2"/>
        <v>1.1010237589337502E-2</v>
      </c>
      <c r="F14">
        <f t="shared" si="3"/>
        <v>2.4484709559537965E-2</v>
      </c>
      <c r="G14">
        <f t="shared" si="4"/>
        <v>1.9993218902804477E-2</v>
      </c>
      <c r="H14">
        <f t="shared" si="5"/>
        <v>1.5501728246070989E-2</v>
      </c>
      <c r="I14">
        <f t="shared" si="13"/>
        <v>12240.517846456029</v>
      </c>
      <c r="J14">
        <f t="shared" si="6"/>
        <v>12240.517846456029</v>
      </c>
      <c r="K14">
        <f t="shared" si="11"/>
        <v>11674.473976426278</v>
      </c>
      <c r="L14">
        <f t="shared" si="7"/>
        <v>11674.473976426278</v>
      </c>
      <c r="M14">
        <f t="shared" si="8"/>
        <v>11090.988022731668</v>
      </c>
      <c r="N14">
        <f t="shared" si="9"/>
        <v>11090.988022731668</v>
      </c>
      <c r="O14">
        <f t="shared" si="14"/>
        <v>0</v>
      </c>
      <c r="P14">
        <f t="shared" si="0"/>
        <v>0</v>
      </c>
      <c r="Q14">
        <f t="shared" si="1"/>
        <v>0</v>
      </c>
    </row>
    <row r="15" spans="1:18" x14ac:dyDescent="0.2">
      <c r="A15" s="4">
        <v>40575</v>
      </c>
      <c r="B15" s="2">
        <v>52.83</v>
      </c>
      <c r="C15" s="2">
        <v>52.34</v>
      </c>
      <c r="D15" s="3">
        <f t="shared" si="12"/>
        <v>3.7102473498233257E-2</v>
      </c>
      <c r="E15" s="3">
        <f t="shared" si="2"/>
        <v>0</v>
      </c>
      <c r="F15">
        <f t="shared" si="3"/>
        <v>3.3392226148409934E-2</v>
      </c>
      <c r="G15">
        <f t="shared" si="4"/>
        <v>2.2261484098939955E-2</v>
      </c>
      <c r="H15">
        <f t="shared" si="5"/>
        <v>1.1130742049469977E-2</v>
      </c>
      <c r="I15">
        <f t="shared" si="13"/>
        <v>12649.255986558535</v>
      </c>
      <c r="J15">
        <f t="shared" si="6"/>
        <v>12649.255986558535</v>
      </c>
      <c r="K15">
        <f t="shared" si="11"/>
        <v>11934.36509321598</v>
      </c>
      <c r="L15">
        <f t="shared" si="7"/>
        <v>11934.36509321598</v>
      </c>
      <c r="M15">
        <f t="shared" si="8"/>
        <v>11214.438949486455</v>
      </c>
      <c r="N15">
        <f t="shared" si="9"/>
        <v>11214.438949486455</v>
      </c>
      <c r="O15">
        <f t="shared" si="14"/>
        <v>0</v>
      </c>
      <c r="P15">
        <f t="shared" si="0"/>
        <v>0</v>
      </c>
      <c r="Q15">
        <f t="shared" si="1"/>
        <v>0</v>
      </c>
    </row>
    <row r="16" spans="1:18" x14ac:dyDescent="0.2">
      <c r="A16" s="4">
        <v>40603</v>
      </c>
      <c r="B16" s="2">
        <v>52.83</v>
      </c>
      <c r="C16" s="2">
        <v>52.27</v>
      </c>
      <c r="D16" s="3">
        <f t="shared" si="12"/>
        <v>0</v>
      </c>
      <c r="E16" s="3">
        <f t="shared" si="2"/>
        <v>-1.3374092472296928E-3</v>
      </c>
      <c r="F16">
        <f t="shared" si="3"/>
        <v>-1.3374092472296929E-4</v>
      </c>
      <c r="G16">
        <f t="shared" si="4"/>
        <v>-5.3496369889187716E-4</v>
      </c>
      <c r="H16">
        <f t="shared" si="5"/>
        <v>-9.3618647306078486E-4</v>
      </c>
      <c r="I16">
        <f t="shared" si="13"/>
        <v>12647.564263365835</v>
      </c>
      <c r="J16">
        <f t="shared" si="6"/>
        <v>12649.255986558535</v>
      </c>
      <c r="K16">
        <f t="shared" si="11"/>
        <v>11927.980641121787</v>
      </c>
      <c r="L16">
        <f t="shared" si="7"/>
        <v>11934.36509321598</v>
      </c>
      <c r="M16">
        <f t="shared" si="8"/>
        <v>11203.94014343898</v>
      </c>
      <c r="N16">
        <f t="shared" si="9"/>
        <v>11214.438949486455</v>
      </c>
      <c r="O16">
        <f t="shared" si="14"/>
        <v>-1.3374092472295818E-4</v>
      </c>
      <c r="P16">
        <f t="shared" si="0"/>
        <v>-5.3496369889183271E-4</v>
      </c>
      <c r="Q16">
        <f t="shared" si="1"/>
        <v>-9.3618647306081826E-4</v>
      </c>
    </row>
    <row r="17" spans="1:17" x14ac:dyDescent="0.2">
      <c r="A17" s="4">
        <v>40634</v>
      </c>
      <c r="B17" s="2">
        <v>54.58</v>
      </c>
      <c r="C17" s="2">
        <v>53.03</v>
      </c>
      <c r="D17" s="3">
        <f t="shared" si="12"/>
        <v>3.3125118303994006E-2</v>
      </c>
      <c r="E17" s="3">
        <f t="shared" si="2"/>
        <v>1.453988903768888E-2</v>
      </c>
      <c r="F17">
        <f t="shared" si="3"/>
        <v>3.1266595377363496E-2</v>
      </c>
      <c r="G17">
        <f t="shared" si="4"/>
        <v>2.5691026597471953E-2</v>
      </c>
      <c r="H17">
        <f t="shared" si="5"/>
        <v>2.0115457817580416E-2</v>
      </c>
      <c r="I17">
        <f t="shared" si="13"/>
        <v>13043.010537697697</v>
      </c>
      <c r="J17">
        <f t="shared" si="6"/>
        <v>13043.010537697697</v>
      </c>
      <c r="K17">
        <f t="shared" si="11"/>
        <v>12234.422709026976</v>
      </c>
      <c r="L17">
        <f t="shared" si="7"/>
        <v>12234.422709026976</v>
      </c>
      <c r="M17">
        <f t="shared" si="8"/>
        <v>11429.312528785023</v>
      </c>
      <c r="N17">
        <f t="shared" si="9"/>
        <v>11429.312528785023</v>
      </c>
      <c r="O17">
        <f t="shared" si="14"/>
        <v>0</v>
      </c>
      <c r="P17">
        <f t="shared" si="0"/>
        <v>0</v>
      </c>
      <c r="Q17">
        <f t="shared" si="1"/>
        <v>0</v>
      </c>
    </row>
    <row r="18" spans="1:17" x14ac:dyDescent="0.2">
      <c r="A18" s="4">
        <v>40664</v>
      </c>
      <c r="B18" s="2">
        <v>54</v>
      </c>
      <c r="C18" s="2">
        <v>53.66</v>
      </c>
      <c r="D18" s="3">
        <f t="shared" si="12"/>
        <v>-1.0626603151337455E-2</v>
      </c>
      <c r="E18" s="3">
        <f t="shared" si="2"/>
        <v>1.1880067886102186E-2</v>
      </c>
      <c r="F18">
        <f t="shared" si="3"/>
        <v>-8.3759360475934904E-3</v>
      </c>
      <c r="G18">
        <f t="shared" si="4"/>
        <v>-1.6239347363615981E-3</v>
      </c>
      <c r="H18">
        <f t="shared" si="5"/>
        <v>5.1280665748702926E-3</v>
      </c>
      <c r="I18">
        <f t="shared" si="13"/>
        <v>12933.763115565853</v>
      </c>
      <c r="J18">
        <f t="shared" si="6"/>
        <v>13043.010537697697</v>
      </c>
      <c r="K18">
        <f t="shared" si="11"/>
        <v>12214.554805010455</v>
      </c>
      <c r="L18">
        <f t="shared" si="7"/>
        <v>12234.422709026976</v>
      </c>
      <c r="M18">
        <f t="shared" si="8"/>
        <v>11487.922804337632</v>
      </c>
      <c r="N18">
        <f t="shared" si="9"/>
        <v>11487.922804337632</v>
      </c>
      <c r="O18">
        <f t="shared" si="14"/>
        <v>-8.3759360475935685E-3</v>
      </c>
      <c r="P18">
        <f t="shared" si="0"/>
        <v>-1.6239347363616874E-3</v>
      </c>
      <c r="Q18">
        <f t="shared" si="1"/>
        <v>0</v>
      </c>
    </row>
    <row r="19" spans="1:17" x14ac:dyDescent="0.2">
      <c r="A19" s="4">
        <v>40695</v>
      </c>
      <c r="B19" s="2">
        <v>52.81</v>
      </c>
      <c r="C19" s="2">
        <v>53.46</v>
      </c>
      <c r="D19" s="3">
        <f t="shared" si="12"/>
        <v>-2.2037037037036966E-2</v>
      </c>
      <c r="E19" s="3">
        <f t="shared" si="2"/>
        <v>-3.7271710771523692E-3</v>
      </c>
      <c r="F19">
        <f t="shared" si="3"/>
        <v>-2.0206050441048506E-2</v>
      </c>
      <c r="G19">
        <f t="shared" si="4"/>
        <v>-1.4713090653083127E-2</v>
      </c>
      <c r="H19">
        <f t="shared" si="5"/>
        <v>-9.2201308651177483E-3</v>
      </c>
      <c r="I19">
        <f t="shared" si="13"/>
        <v>12672.422845660156</v>
      </c>
      <c r="J19">
        <f t="shared" si="6"/>
        <v>13043.010537697697</v>
      </c>
      <c r="K19">
        <f t="shared" si="11"/>
        <v>12034.840952877285</v>
      </c>
      <c r="L19">
        <f t="shared" si="7"/>
        <v>12234.422709026976</v>
      </c>
      <c r="M19">
        <f t="shared" si="8"/>
        <v>11382.002652713269</v>
      </c>
      <c r="N19">
        <f t="shared" si="9"/>
        <v>11487.922804337632</v>
      </c>
      <c r="O19">
        <f t="shared" si="14"/>
        <v>-2.8412741902373417E-2</v>
      </c>
      <c r="P19">
        <f t="shared" si="0"/>
        <v>-1.6313132290453947E-2</v>
      </c>
      <c r="Q19">
        <f t="shared" si="1"/>
        <v>-9.2201308651177483E-3</v>
      </c>
    </row>
    <row r="20" spans="1:17" x14ac:dyDescent="0.2">
      <c r="A20" s="4">
        <v>40725</v>
      </c>
      <c r="B20" s="2">
        <v>51.83</v>
      </c>
      <c r="C20" s="2">
        <v>54.33</v>
      </c>
      <c r="D20" s="3">
        <f t="shared" si="12"/>
        <v>-1.8557091459950881E-2</v>
      </c>
      <c r="E20" s="3">
        <f t="shared" si="2"/>
        <v>1.6273849607182811E-2</v>
      </c>
      <c r="F20">
        <f t="shared" si="3"/>
        <v>-1.5073997353237511E-2</v>
      </c>
      <c r="G20">
        <f t="shared" si="4"/>
        <v>-4.6247150330974039E-3</v>
      </c>
      <c r="H20">
        <f t="shared" si="5"/>
        <v>5.8245672870427031E-3</v>
      </c>
      <c r="I20">
        <f t="shared" si="13"/>
        <v>12481.398777225568</v>
      </c>
      <c r="J20">
        <f t="shared" si="6"/>
        <v>13043.010537697697</v>
      </c>
      <c r="K20">
        <f t="shared" si="11"/>
        <v>11979.183243001577</v>
      </c>
      <c r="L20">
        <f t="shared" si="7"/>
        <v>12234.422709026976</v>
      </c>
      <c r="M20">
        <f t="shared" si="8"/>
        <v>11448.297893025296</v>
      </c>
      <c r="N20">
        <f t="shared" si="9"/>
        <v>11487.922804337632</v>
      </c>
      <c r="O20">
        <f t="shared" si="14"/>
        <v>-4.3058445659376332E-2</v>
      </c>
      <c r="P20">
        <f t="shared" si="0"/>
        <v>-2.0862403735410817E-2</v>
      </c>
      <c r="Q20">
        <f t="shared" si="1"/>
        <v>-3.4492668506942437E-3</v>
      </c>
    </row>
    <row r="21" spans="1:17" x14ac:dyDescent="0.2">
      <c r="A21" s="4">
        <v>40756</v>
      </c>
      <c r="B21" s="2">
        <v>48.68</v>
      </c>
      <c r="C21" s="2">
        <v>55.23</v>
      </c>
      <c r="D21" s="3">
        <f t="shared" si="12"/>
        <v>-6.0775612579587079E-2</v>
      </c>
      <c r="E21" s="3">
        <f t="shared" si="2"/>
        <v>1.6565433462175649E-2</v>
      </c>
      <c r="F21">
        <f t="shared" si="3"/>
        <v>-5.3041507975410809E-2</v>
      </c>
      <c r="G21">
        <f t="shared" si="4"/>
        <v>-2.9839194162881985E-2</v>
      </c>
      <c r="H21">
        <f t="shared" si="5"/>
        <v>-6.6368803503531679E-3</v>
      </c>
      <c r="I21">
        <f t="shared" si="13"/>
        <v>11819.366564439075</v>
      </c>
      <c r="J21">
        <f t="shared" si="6"/>
        <v>13043.010537697697</v>
      </c>
      <c r="K21">
        <f t="shared" si="11"/>
        <v>11621.734068300912</v>
      </c>
      <c r="L21">
        <f t="shared" si="7"/>
        <v>12234.422709026976</v>
      </c>
      <c r="M21">
        <f t="shared" si="8"/>
        <v>11372.316909694087</v>
      </c>
      <c r="N21">
        <f t="shared" si="9"/>
        <v>11487.922804337632</v>
      </c>
      <c r="O21">
        <f t="shared" si="14"/>
        <v>-9.381606874593662E-2</v>
      </c>
      <c r="P21">
        <f t="shared" si="0"/>
        <v>-5.0079080582527302E-2</v>
      </c>
      <c r="Q21">
        <f t="shared" si="1"/>
        <v>-1.006325482966286E-2</v>
      </c>
    </row>
    <row r="22" spans="1:17" x14ac:dyDescent="0.2">
      <c r="A22" s="4">
        <v>40787</v>
      </c>
      <c r="B22" s="2">
        <v>44.75</v>
      </c>
      <c r="C22" s="2">
        <v>55.61</v>
      </c>
      <c r="D22" s="3">
        <f t="shared" si="12"/>
        <v>-8.0731306491372168E-2</v>
      </c>
      <c r="E22" s="3">
        <f t="shared" si="2"/>
        <v>6.8803186673909167E-3</v>
      </c>
      <c r="F22">
        <f>0.9*D22+0.1*E22</f>
        <v>-7.1970143975495865E-2</v>
      </c>
      <c r="G22">
        <f t="shared" si="4"/>
        <v>-4.5686656427866928E-2</v>
      </c>
      <c r="H22">
        <f t="shared" si="5"/>
        <v>-1.9403168880238006E-2</v>
      </c>
      <c r="I22">
        <f t="shared" si="13"/>
        <v>10968.725051097234</v>
      </c>
      <c r="J22">
        <f t="shared" si="6"/>
        <v>13043.010537697697</v>
      </c>
      <c r="K22">
        <f t="shared" si="11"/>
        <v>11090.775896826412</v>
      </c>
      <c r="L22">
        <f t="shared" si="7"/>
        <v>12234.422709026976</v>
      </c>
      <c r="M22">
        <f t="shared" si="8"/>
        <v>11151.657924135707</v>
      </c>
      <c r="N22">
        <f t="shared" si="9"/>
        <v>11487.922804337632</v>
      </c>
      <c r="O22">
        <f t="shared" si="14"/>
        <v>-0.15903425674657234</v>
      </c>
      <c r="P22">
        <f t="shared" si="0"/>
        <v>-9.3477791261596943E-2</v>
      </c>
      <c r="Q22">
        <f t="shared" si="1"/>
        <v>-2.9271164676956007E-2</v>
      </c>
    </row>
    <row r="23" spans="1:17" x14ac:dyDescent="0.2">
      <c r="A23" s="4">
        <v>40817</v>
      </c>
      <c r="B23" s="2">
        <v>50.1</v>
      </c>
      <c r="C23" s="2">
        <v>55.67</v>
      </c>
      <c r="D23" s="3">
        <f t="shared" si="12"/>
        <v>0.11955307262569836</v>
      </c>
      <c r="E23" s="3">
        <f t="shared" si="2"/>
        <v>1.0789426362165511E-3</v>
      </c>
      <c r="F23">
        <f t="shared" si="3"/>
        <v>0.10770565962675017</v>
      </c>
      <c r="G23">
        <f t="shared" si="4"/>
        <v>7.2163420629905647E-2</v>
      </c>
      <c r="H23">
        <f t="shared" si="5"/>
        <v>3.6621181633061099E-2</v>
      </c>
      <c r="I23">
        <f t="shared" si="13"/>
        <v>12150.118817990122</v>
      </c>
      <c r="J23">
        <f t="shared" si="6"/>
        <v>13043.010537697697</v>
      </c>
      <c r="K23">
        <f t="shared" si="11"/>
        <v>11891.124222981114</v>
      </c>
      <c r="L23">
        <f t="shared" si="7"/>
        <v>12234.422709026976</v>
      </c>
      <c r="M23">
        <f t="shared" si="8"/>
        <v>11560.044814485245</v>
      </c>
      <c r="N23">
        <f t="shared" si="9"/>
        <v>11560.044814485245</v>
      </c>
      <c r="O23">
        <f t="shared" si="14"/>
        <v>-6.8457486645961518E-2</v>
      </c>
      <c r="P23">
        <f t="shared" si="0"/>
        <v>-2.8060047802056398E-2</v>
      </c>
      <c r="Q23">
        <f t="shared" si="1"/>
        <v>0</v>
      </c>
    </row>
    <row r="24" spans="1:17" x14ac:dyDescent="0.2">
      <c r="A24" s="4">
        <v>40848</v>
      </c>
      <c r="B24" s="2">
        <v>49.92</v>
      </c>
      <c r="C24" s="2">
        <v>55.64</v>
      </c>
      <c r="D24" s="3">
        <f t="shared" si="12"/>
        <v>-3.5928143712574689E-3</v>
      </c>
      <c r="E24" s="3">
        <f t="shared" si="2"/>
        <v>-5.3888988683314931E-4</v>
      </c>
      <c r="F24">
        <f t="shared" si="3"/>
        <v>-3.2874219228150371E-3</v>
      </c>
      <c r="G24">
        <f t="shared" si="4"/>
        <v>-2.371244577487741E-3</v>
      </c>
      <c r="H24">
        <f t="shared" si="5"/>
        <v>-1.4550672321604452E-3</v>
      </c>
      <c r="I24">
        <f t="shared" si="13"/>
        <v>12110.176251023053</v>
      </c>
      <c r="J24">
        <f t="shared" si="6"/>
        <v>13043.010537697697</v>
      </c>
      <c r="K24">
        <f t="shared" si="11"/>
        <v>11862.927459147137</v>
      </c>
      <c r="L24">
        <f t="shared" si="7"/>
        <v>12234.422709026976</v>
      </c>
      <c r="M24">
        <f t="shared" si="8"/>
        <v>11543.224172073382</v>
      </c>
      <c r="N24">
        <f t="shared" si="9"/>
        <v>11560.044814485245</v>
      </c>
      <c r="O24">
        <f t="shared" si="14"/>
        <v>-7.1519859926395868E-2</v>
      </c>
      <c r="P24">
        <f t="shared" si="0"/>
        <v>-3.0364755143349575E-2</v>
      </c>
      <c r="Q24">
        <f t="shared" si="1"/>
        <v>-1.4550672321603786E-3</v>
      </c>
    </row>
    <row r="25" spans="1:17" x14ac:dyDescent="0.2">
      <c r="A25" s="4">
        <v>40878</v>
      </c>
      <c r="B25" s="2">
        <v>50.12</v>
      </c>
      <c r="C25" s="2">
        <v>55.9</v>
      </c>
      <c r="D25" s="3">
        <f t="shared" si="12"/>
        <v>4.0064102564101312E-3</v>
      </c>
      <c r="E25" s="3">
        <f t="shared" si="2"/>
        <v>4.6728971962617383E-3</v>
      </c>
      <c r="F25">
        <f t="shared" si="3"/>
        <v>4.073058950395292E-3</v>
      </c>
      <c r="G25">
        <f t="shared" si="4"/>
        <v>4.2730050323507738E-3</v>
      </c>
      <c r="H25">
        <f t="shared" si="5"/>
        <v>4.4729511143062565E-3</v>
      </c>
      <c r="I25">
        <f t="shared" si="13"/>
        <v>12159.501712793146</v>
      </c>
      <c r="J25">
        <f t="shared" si="6"/>
        <v>13043.010537697697</v>
      </c>
      <c r="K25">
        <f t="shared" si="11"/>
        <v>11913.617807878483</v>
      </c>
      <c r="L25">
        <f t="shared" si="7"/>
        <v>12234.422709026976</v>
      </c>
      <c r="M25">
        <f t="shared" si="8"/>
        <v>11594.856449496545</v>
      </c>
      <c r="N25">
        <f t="shared" si="9"/>
        <v>11594.856449496545</v>
      </c>
      <c r="O25">
        <f t="shared" si="14"/>
        <v>-6.7738105581604868E-2</v>
      </c>
      <c r="P25">
        <f t="shared" si="0"/>
        <v>-2.6221498862532555E-2</v>
      </c>
      <c r="Q25">
        <f t="shared" si="1"/>
        <v>0</v>
      </c>
    </row>
    <row r="26" spans="1:17" x14ac:dyDescent="0.2">
      <c r="A26" s="4">
        <v>40909</v>
      </c>
      <c r="B26" s="2">
        <v>52.96</v>
      </c>
      <c r="C26" s="2">
        <v>56.8</v>
      </c>
      <c r="D26" s="3">
        <f t="shared" si="12"/>
        <v>5.6664006384676835E-2</v>
      </c>
      <c r="E26" s="3">
        <f t="shared" si="2"/>
        <v>1.610017889087656E-2</v>
      </c>
      <c r="F26">
        <f t="shared" si="3"/>
        <v>5.2607623635296807E-2</v>
      </c>
      <c r="G26">
        <f t="shared" si="4"/>
        <v>4.0438475387156725E-2</v>
      </c>
      <c r="H26">
        <f t="shared" si="5"/>
        <v>2.8269327139016642E-2</v>
      </c>
      <c r="I26">
        <f t="shared" si="13"/>
        <v>12799.184202492515</v>
      </c>
      <c r="J26">
        <f t="shared" si="6"/>
        <v>13043.010537697697</v>
      </c>
      <c r="K26">
        <f t="shared" si="11"/>
        <v>12395.38634837437</v>
      </c>
      <c r="L26">
        <f t="shared" si="7"/>
        <v>12395.38634837437</v>
      </c>
      <c r="M26">
        <f t="shared" si="8"/>
        <v>11922.635239597299</v>
      </c>
      <c r="N26">
        <f t="shared" si="9"/>
        <v>11922.635239597299</v>
      </c>
      <c r="O26">
        <f t="shared" si="14"/>
        <v>-1.8694022710513014E-2</v>
      </c>
      <c r="P26">
        <f t="shared" si="0"/>
        <v>0</v>
      </c>
      <c r="Q26">
        <f t="shared" si="1"/>
        <v>0</v>
      </c>
    </row>
    <row r="27" spans="1:17" x14ac:dyDescent="0.2">
      <c r="A27" s="4">
        <v>40940</v>
      </c>
      <c r="B27" s="2">
        <v>55.19</v>
      </c>
      <c r="C27" s="2">
        <v>56.68</v>
      </c>
      <c r="D27" s="3">
        <f t="shared" si="12"/>
        <v>4.2107250755286874E-2</v>
      </c>
      <c r="E27" s="3">
        <f t="shared" si="2"/>
        <v>-2.1126760563380254E-3</v>
      </c>
      <c r="F27">
        <f t="shared" si="3"/>
        <v>3.7685258074124386E-2</v>
      </c>
      <c r="G27">
        <f t="shared" si="4"/>
        <v>2.4419280030636911E-2</v>
      </c>
      <c r="H27">
        <f t="shared" si="5"/>
        <v>1.1153301987149443E-2</v>
      </c>
      <c r="I27">
        <f t="shared" si="13"/>
        <v>13281.524762301702</v>
      </c>
      <c r="J27">
        <f t="shared" si="6"/>
        <v>13281.524762301702</v>
      </c>
      <c r="K27">
        <f t="shared" si="11"/>
        <v>12698.072758703256</v>
      </c>
      <c r="L27">
        <f t="shared" si="7"/>
        <v>12698.072758703256</v>
      </c>
      <c r="M27">
        <f t="shared" si="8"/>
        <v>12055.611990907159</v>
      </c>
      <c r="N27">
        <f t="shared" si="9"/>
        <v>12055.611990907159</v>
      </c>
      <c r="O27">
        <f t="shared" si="14"/>
        <v>0</v>
      </c>
      <c r="P27">
        <f t="shared" si="0"/>
        <v>0</v>
      </c>
      <c r="Q27">
        <f t="shared" si="1"/>
        <v>0</v>
      </c>
    </row>
    <row r="28" spans="1:17" x14ac:dyDescent="0.2">
      <c r="A28" s="4">
        <v>40969</v>
      </c>
      <c r="B28" s="2">
        <v>56.64</v>
      </c>
      <c r="C28" s="2">
        <v>56.4</v>
      </c>
      <c r="D28" s="3">
        <f t="shared" si="12"/>
        <v>2.627287552092783E-2</v>
      </c>
      <c r="E28" s="3">
        <f t="shared" si="2"/>
        <v>-4.9400141143260967E-3</v>
      </c>
      <c r="F28">
        <f t="shared" si="3"/>
        <v>2.3151586557402435E-2</v>
      </c>
      <c r="G28">
        <f t="shared" si="4"/>
        <v>1.378771966682626E-2</v>
      </c>
      <c r="H28">
        <f t="shared" si="5"/>
        <v>4.4238527762500823E-3</v>
      </c>
      <c r="I28">
        <f t="shared" si="13"/>
        <v>13589.013132450413</v>
      </c>
      <c r="J28">
        <f t="shared" si="6"/>
        <v>13589.013132450413</v>
      </c>
      <c r="K28">
        <f t="shared" si="11"/>
        <v>12873.150226209222</v>
      </c>
      <c r="L28">
        <f t="shared" si="7"/>
        <v>12873.150226209222</v>
      </c>
      <c r="M28">
        <f t="shared" si="8"/>
        <v>12108.944243482527</v>
      </c>
      <c r="N28">
        <f t="shared" si="9"/>
        <v>12108.944243482527</v>
      </c>
      <c r="O28">
        <f t="shared" si="14"/>
        <v>0</v>
      </c>
      <c r="P28">
        <f t="shared" si="0"/>
        <v>0</v>
      </c>
      <c r="Q28">
        <f t="shared" si="1"/>
        <v>0</v>
      </c>
    </row>
    <row r="29" spans="1:17" x14ac:dyDescent="0.2">
      <c r="A29" s="4">
        <v>41000</v>
      </c>
      <c r="B29" s="2">
        <v>56.52</v>
      </c>
      <c r="C29" s="2">
        <v>56.96</v>
      </c>
      <c r="D29" s="3">
        <f t="shared" si="12"/>
        <v>-2.1186440677966045E-3</v>
      </c>
      <c r="E29" s="3">
        <f t="shared" si="2"/>
        <v>9.9290780141845225E-3</v>
      </c>
      <c r="F29">
        <f t="shared" si="3"/>
        <v>-9.1387185959849169E-4</v>
      </c>
      <c r="G29">
        <f t="shared" si="4"/>
        <v>2.7004447649958468E-3</v>
      </c>
      <c r="H29">
        <f t="shared" si="5"/>
        <v>6.3147613895901834E-3</v>
      </c>
      <c r="I29">
        <f t="shared" si="13"/>
        <v>13576.594515748953</v>
      </c>
      <c r="J29">
        <f t="shared" si="6"/>
        <v>13589.013132450413</v>
      </c>
      <c r="K29">
        <f t="shared" si="11"/>
        <v>12907.913457346594</v>
      </c>
      <c r="L29">
        <f t="shared" si="7"/>
        <v>12907.913457346594</v>
      </c>
      <c r="M29">
        <f t="shared" si="8"/>
        <v>12185.409337059971</v>
      </c>
      <c r="N29">
        <f t="shared" si="9"/>
        <v>12185.409337059971</v>
      </c>
      <c r="O29">
        <f t="shared" si="14"/>
        <v>-9.1387185959834749E-4</v>
      </c>
      <c r="P29">
        <f t="shared" si="0"/>
        <v>0</v>
      </c>
      <c r="Q29">
        <f t="shared" si="1"/>
        <v>0</v>
      </c>
    </row>
    <row r="30" spans="1:17" x14ac:dyDescent="0.2">
      <c r="A30" s="4">
        <v>41030</v>
      </c>
      <c r="B30" s="2">
        <v>53.01</v>
      </c>
      <c r="C30" s="2">
        <v>57.56</v>
      </c>
      <c r="D30" s="3">
        <f t="shared" si="12"/>
        <v>-6.2101910828025519E-2</v>
      </c>
      <c r="E30" s="3">
        <f t="shared" si="2"/>
        <v>1.0533707865168607E-2</v>
      </c>
      <c r="F30">
        <f t="shared" si="3"/>
        <v>-5.4838348958706103E-2</v>
      </c>
      <c r="G30">
        <f t="shared" si="4"/>
        <v>-3.3047663350747873E-2</v>
      </c>
      <c r="H30">
        <f t="shared" si="5"/>
        <v>-1.1256977742789633E-2</v>
      </c>
      <c r="I30">
        <f t="shared" si="13"/>
        <v>12832.076488023456</v>
      </c>
      <c r="J30">
        <f t="shared" si="6"/>
        <v>13589.013132450413</v>
      </c>
      <c r="K30">
        <f t="shared" si="11"/>
        <v>12481.337078847617</v>
      </c>
      <c r="L30">
        <f t="shared" si="7"/>
        <v>12907.913457346594</v>
      </c>
      <c r="M30">
        <f t="shared" si="8"/>
        <v>12048.238455365905</v>
      </c>
      <c r="N30">
        <f t="shared" si="9"/>
        <v>12185.409337059971</v>
      </c>
      <c r="O30">
        <f t="shared" si="14"/>
        <v>-5.5702105594364282E-2</v>
      </c>
      <c r="P30">
        <f t="shared" si="0"/>
        <v>-3.3047663350747825E-2</v>
      </c>
      <c r="Q30">
        <f t="shared" si="1"/>
        <v>-1.1256977742789775E-2</v>
      </c>
    </row>
    <row r="31" spans="1:17" x14ac:dyDescent="0.2">
      <c r="A31" s="4">
        <v>41061</v>
      </c>
      <c r="B31" s="2">
        <v>54.87</v>
      </c>
      <c r="C31" s="2">
        <v>57.6</v>
      </c>
      <c r="D31" s="3">
        <f t="shared" si="12"/>
        <v>3.5087719298245501E-2</v>
      </c>
      <c r="E31" s="3">
        <f t="shared" si="2"/>
        <v>6.9492703266149647E-4</v>
      </c>
      <c r="F31">
        <f t="shared" si="3"/>
        <v>3.1648440071687101E-2</v>
      </c>
      <c r="G31">
        <f t="shared" si="4"/>
        <v>2.1330602392011896E-2</v>
      </c>
      <c r="H31">
        <f t="shared" si="5"/>
        <v>1.1012764712336696E-2</v>
      </c>
      <c r="I31">
        <f t="shared" si="13"/>
        <v>13238.191691749973</v>
      </c>
      <c r="J31">
        <f t="shared" si="6"/>
        <v>13589.013132450413</v>
      </c>
      <c r="K31">
        <f t="shared" si="11"/>
        <v>12747.571517397191</v>
      </c>
      <c r="L31">
        <f t="shared" si="7"/>
        <v>12907.913457346594</v>
      </c>
      <c r="M31">
        <f t="shared" si="8"/>
        <v>12180.922870672975</v>
      </c>
      <c r="N31">
        <f t="shared" si="9"/>
        <v>12185.409337059971</v>
      </c>
      <c r="O31">
        <f t="shared" si="14"/>
        <v>-2.5816550273447203E-2</v>
      </c>
      <c r="P31">
        <f t="shared" si="0"/>
        <v>-1.2421987525655709E-2</v>
      </c>
      <c r="Q31">
        <f t="shared" si="1"/>
        <v>-3.6818347770650739E-4</v>
      </c>
    </row>
    <row r="32" spans="1:17" x14ac:dyDescent="0.2">
      <c r="A32" s="4">
        <v>41091</v>
      </c>
      <c r="B32" s="2">
        <v>55.63</v>
      </c>
      <c r="C32" s="2">
        <v>58.31</v>
      </c>
      <c r="D32" s="3">
        <f t="shared" si="12"/>
        <v>1.3850920357208141E-2</v>
      </c>
      <c r="E32" s="3">
        <f t="shared" si="2"/>
        <v>1.2326388888888928E-2</v>
      </c>
      <c r="F32">
        <f t="shared" si="3"/>
        <v>1.3698467210376219E-2</v>
      </c>
      <c r="G32">
        <f t="shared" si="4"/>
        <v>1.3241107769880456E-2</v>
      </c>
      <c r="H32">
        <f t="shared" si="5"/>
        <v>1.2783748329384691E-2</v>
      </c>
      <c r="I32">
        <f t="shared" si="13"/>
        <v>13419.534626564084</v>
      </c>
      <c r="J32">
        <f t="shared" si="6"/>
        <v>13589.013132450413</v>
      </c>
      <c r="K32">
        <f t="shared" si="11"/>
        <v>12916.363485663305</v>
      </c>
      <c r="L32">
        <f t="shared" si="7"/>
        <v>12916.363485663305</v>
      </c>
      <c r="M32">
        <f t="shared" si="8"/>
        <v>12336.640723071305</v>
      </c>
      <c r="N32">
        <f t="shared" si="9"/>
        <v>12336.640723071305</v>
      </c>
      <c r="O32">
        <f t="shared" si="14"/>
        <v>-1.2471730230476874E-2</v>
      </c>
      <c r="P32">
        <f t="shared" si="0"/>
        <v>0</v>
      </c>
      <c r="Q32">
        <f t="shared" si="1"/>
        <v>0</v>
      </c>
    </row>
    <row r="33" spans="1:17" x14ac:dyDescent="0.2">
      <c r="A33" s="4">
        <v>41122</v>
      </c>
      <c r="B33" s="2">
        <v>57.14</v>
      </c>
      <c r="C33" s="2">
        <v>58.4</v>
      </c>
      <c r="D33" s="3">
        <f t="shared" si="12"/>
        <v>2.7143627539097492E-2</v>
      </c>
      <c r="E33" s="3">
        <f t="shared" si="2"/>
        <v>1.5434745326701194E-3</v>
      </c>
      <c r="F33">
        <f t="shared" si="3"/>
        <v>2.4583612238454757E-2</v>
      </c>
      <c r="G33">
        <f t="shared" si="4"/>
        <v>1.6903566336526541E-2</v>
      </c>
      <c r="H33">
        <f t="shared" si="5"/>
        <v>9.2235204345983302E-3</v>
      </c>
      <c r="I33">
        <f t="shared" si="13"/>
        <v>13749.435262244053</v>
      </c>
      <c r="J33">
        <f t="shared" si="6"/>
        <v>13749.435262244053</v>
      </c>
      <c r="K33">
        <f t="shared" si="11"/>
        <v>13134.696092669903</v>
      </c>
      <c r="L33">
        <f t="shared" si="7"/>
        <v>13134.696092669903</v>
      </c>
      <c r="M33">
        <f t="shared" si="8"/>
        <v>12450.427980874851</v>
      </c>
      <c r="N33">
        <f t="shared" si="9"/>
        <v>12450.427980874851</v>
      </c>
      <c r="O33">
        <f t="shared" si="14"/>
        <v>0</v>
      </c>
      <c r="P33">
        <f t="shared" si="0"/>
        <v>0</v>
      </c>
      <c r="Q33">
        <f t="shared" si="1"/>
        <v>0</v>
      </c>
    </row>
    <row r="34" spans="1:17" x14ac:dyDescent="0.2">
      <c r="A34" s="4">
        <v>41153</v>
      </c>
      <c r="B34" s="2">
        <v>58.27</v>
      </c>
      <c r="C34" s="2">
        <v>58.51</v>
      </c>
      <c r="D34" s="3">
        <f>B34/B33-1</f>
        <v>1.9775988799439981E-2</v>
      </c>
      <c r="E34" s="3">
        <f t="shared" si="2"/>
        <v>1.8835616438355185E-3</v>
      </c>
      <c r="F34">
        <f t="shared" si="3"/>
        <v>1.7986746083879537E-2</v>
      </c>
      <c r="G34">
        <f t="shared" si="4"/>
        <v>1.2619017937198196E-2</v>
      </c>
      <c r="H34">
        <f t="shared" si="5"/>
        <v>7.251289790516857E-3</v>
      </c>
      <c r="I34">
        <f t="shared" si="13"/>
        <v>13996.742863102778</v>
      </c>
      <c r="J34">
        <f t="shared" si="6"/>
        <v>13996.742863102778</v>
      </c>
      <c r="K34">
        <f t="shared" si="11"/>
        <v>13300.44305826295</v>
      </c>
      <c r="L34">
        <f t="shared" si="7"/>
        <v>13300.44305826295</v>
      </c>
      <c r="M34">
        <f t="shared" si="8"/>
        <v>12540.709642180133</v>
      </c>
      <c r="N34">
        <f t="shared" si="9"/>
        <v>12540.709642180133</v>
      </c>
      <c r="O34">
        <f t="shared" si="14"/>
        <v>0</v>
      </c>
      <c r="P34">
        <f t="shared" si="0"/>
        <v>0</v>
      </c>
      <c r="Q34">
        <f t="shared" si="1"/>
        <v>0</v>
      </c>
    </row>
    <row r="35" spans="1:17" x14ac:dyDescent="0.2">
      <c r="A35" s="4">
        <v>41183</v>
      </c>
      <c r="B35" s="2">
        <v>57.5</v>
      </c>
      <c r="C35" s="2">
        <v>58.46</v>
      </c>
      <c r="D35" s="3">
        <f t="shared" si="12"/>
        <v>-1.3214347005320093E-2</v>
      </c>
      <c r="E35" s="3">
        <f t="shared" si="2"/>
        <v>-8.5455477696116944E-4</v>
      </c>
      <c r="F35">
        <f t="shared" si="3"/>
        <v>-1.1978367782484201E-2</v>
      </c>
      <c r="G35">
        <f t="shared" si="4"/>
        <v>-8.2704301139765232E-3</v>
      </c>
      <c r="H35">
        <f t="shared" si="5"/>
        <v>-4.5624924454688463E-3</v>
      </c>
      <c r="I35">
        <f t="shared" si="13"/>
        <v>13829.084729331673</v>
      </c>
      <c r="J35">
        <f t="shared" si="6"/>
        <v>13996.742863102778</v>
      </c>
      <c r="K35">
        <f t="shared" si="11"/>
        <v>13190.442673464662</v>
      </c>
      <c r="L35">
        <f t="shared" si="7"/>
        <v>13300.44305826295</v>
      </c>
      <c r="M35">
        <f t="shared" si="8"/>
        <v>12483.492749176869</v>
      </c>
      <c r="N35">
        <f t="shared" si="9"/>
        <v>12540.709642180133</v>
      </c>
      <c r="O35">
        <f t="shared" si="14"/>
        <v>-1.1978367782484178E-2</v>
      </c>
      <c r="P35">
        <f t="shared" si="0"/>
        <v>-8.2704301139765457E-3</v>
      </c>
      <c r="Q35">
        <f t="shared" si="1"/>
        <v>-4.5624924454688021E-3</v>
      </c>
    </row>
    <row r="36" spans="1:17" x14ac:dyDescent="0.2">
      <c r="A36" s="4">
        <v>41214</v>
      </c>
      <c r="B36" s="2">
        <v>57.95</v>
      </c>
      <c r="C36" s="2">
        <v>58.61</v>
      </c>
      <c r="D36" s="3">
        <f t="shared" si="12"/>
        <v>7.8260869565218716E-3</v>
      </c>
      <c r="E36" s="3">
        <f t="shared" si="2"/>
        <v>2.5658569962367928E-3</v>
      </c>
      <c r="F36">
        <f t="shared" si="3"/>
        <v>7.3000639604933644E-3</v>
      </c>
      <c r="G36">
        <f t="shared" si="4"/>
        <v>5.7219949724078394E-3</v>
      </c>
      <c r="H36">
        <f t="shared" si="5"/>
        <v>4.1439259843223161E-3</v>
      </c>
      <c r="I36">
        <f t="shared" si="13"/>
        <v>13930.037932370877</v>
      </c>
      <c r="J36">
        <f t="shared" si="6"/>
        <v>13996.742863102778</v>
      </c>
      <c r="K36">
        <f t="shared" si="11"/>
        <v>13265.918320126062</v>
      </c>
      <c r="L36">
        <f t="shared" si="7"/>
        <v>13300.44305826295</v>
      </c>
      <c r="M36">
        <f t="shared" si="8"/>
        <v>12535.223419155282</v>
      </c>
      <c r="N36">
        <f t="shared" si="9"/>
        <v>12540.709642180133</v>
      </c>
      <c r="O36">
        <f t="shared" si="14"/>
        <v>-4.7657466729451592E-3</v>
      </c>
      <c r="P36">
        <f t="shared" si="0"/>
        <v>-2.595758501100387E-3</v>
      </c>
      <c r="Q36">
        <f t="shared" si="1"/>
        <v>-4.3747309214448027E-4</v>
      </c>
    </row>
    <row r="37" spans="1:17" x14ac:dyDescent="0.2">
      <c r="A37" s="4">
        <v>41244</v>
      </c>
      <c r="B37" s="2">
        <v>58.26</v>
      </c>
      <c r="C37" s="2">
        <v>57.98</v>
      </c>
      <c r="D37" s="3">
        <f t="shared" si="12"/>
        <v>5.3494391716997214E-3</v>
      </c>
      <c r="E37" s="3">
        <f t="shared" si="2"/>
        <v>-1.074901893874769E-2</v>
      </c>
      <c r="F37">
        <f t="shared" si="3"/>
        <v>3.7395933606549801E-3</v>
      </c>
      <c r="G37">
        <f t="shared" si="4"/>
        <v>-1.0899440724792433E-3</v>
      </c>
      <c r="H37">
        <f t="shared" si="5"/>
        <v>-5.9194815056134659E-3</v>
      </c>
      <c r="I37">
        <f t="shared" si="13"/>
        <v>13982.130609736443</v>
      </c>
      <c r="J37">
        <f t="shared" si="6"/>
        <v>13996.742863102778</v>
      </c>
      <c r="K37">
        <f t="shared" si="11"/>
        <v>13251.459211087047</v>
      </c>
      <c r="L37">
        <f t="shared" si="7"/>
        <v>13300.44305826295</v>
      </c>
      <c r="M37">
        <f t="shared" si="8"/>
        <v>12461.021395956859</v>
      </c>
      <c r="N37">
        <f t="shared" si="9"/>
        <v>12540.709642180133</v>
      </c>
      <c r="O37">
        <f t="shared" si="14"/>
        <v>-1.0439752669069158E-3</v>
      </c>
      <c r="P37">
        <f t="shared" si="0"/>
        <v>-3.6828733419878024E-3</v>
      </c>
      <c r="Q37">
        <f t="shared" si="1"/>
        <v>-6.3543649838798677E-3</v>
      </c>
    </row>
    <row r="38" spans="1:17" x14ac:dyDescent="0.2">
      <c r="A38" s="4">
        <v>41275</v>
      </c>
      <c r="B38" s="2">
        <v>61.88</v>
      </c>
      <c r="C38" s="2">
        <v>57.7</v>
      </c>
      <c r="D38" s="3">
        <f t="shared" si="12"/>
        <v>6.2135255750085827E-2</v>
      </c>
      <c r="E38" s="3">
        <f t="shared" si="2"/>
        <v>-4.8292514660226438E-3</v>
      </c>
      <c r="F38">
        <f t="shared" si="3"/>
        <v>5.543880502847498E-2</v>
      </c>
      <c r="G38">
        <f t="shared" si="4"/>
        <v>3.5349452863642439E-2</v>
      </c>
      <c r="H38">
        <f t="shared" si="5"/>
        <v>1.5260100698809896E-2</v>
      </c>
      <c r="I38">
        <f t="shared" si="13"/>
        <v>14757.283222492295</v>
      </c>
      <c r="J38">
        <f t="shared" si="6"/>
        <v>14757.283222492295</v>
      </c>
      <c r="K38">
        <f t="shared" si="11"/>
        <v>13719.891043843849</v>
      </c>
      <c r="L38">
        <f t="shared" si="7"/>
        <v>13719.891043843849</v>
      </c>
      <c r="M38">
        <f t="shared" si="8"/>
        <v>12651.177837269184</v>
      </c>
      <c r="N38">
        <f t="shared" si="9"/>
        <v>12651.177837269184</v>
      </c>
      <c r="O38">
        <f t="shared" si="14"/>
        <v>0</v>
      </c>
      <c r="P38">
        <f t="shared" si="0"/>
        <v>0</v>
      </c>
      <c r="Q38">
        <f t="shared" si="1"/>
        <v>0</v>
      </c>
    </row>
    <row r="39" spans="1:17" x14ac:dyDescent="0.2">
      <c r="A39" s="4">
        <v>41306</v>
      </c>
      <c r="B39" s="2">
        <v>62.67</v>
      </c>
      <c r="C39" s="2">
        <v>57.89</v>
      </c>
      <c r="D39" s="3">
        <f t="shared" si="12"/>
        <v>1.2766645119586251E-2</v>
      </c>
      <c r="E39" s="3">
        <f t="shared" si="2"/>
        <v>3.292894280762626E-3</v>
      </c>
      <c r="F39">
        <f t="shared" si="3"/>
        <v>1.1819270035703888E-2</v>
      </c>
      <c r="G39">
        <f t="shared" si="4"/>
        <v>8.9771447840568015E-3</v>
      </c>
      <c r="H39">
        <f t="shared" si="5"/>
        <v>6.1350195324097138E-3</v>
      </c>
      <c r="I39">
        <f t="shared" si="13"/>
        <v>14931.703537892294</v>
      </c>
      <c r="J39">
        <f t="shared" si="6"/>
        <v>14931.703537892294</v>
      </c>
      <c r="K39">
        <f t="shared" si="11"/>
        <v>13843.056492165919</v>
      </c>
      <c r="L39">
        <f t="shared" si="7"/>
        <v>13843.056492165919</v>
      </c>
      <c r="M39">
        <f t="shared" si="8"/>
        <v>12728.79306040882</v>
      </c>
      <c r="N39">
        <f t="shared" si="9"/>
        <v>12728.79306040882</v>
      </c>
      <c r="O39">
        <f t="shared" si="14"/>
        <v>0</v>
      </c>
      <c r="P39">
        <f t="shared" si="0"/>
        <v>0</v>
      </c>
      <c r="Q39">
        <f t="shared" si="1"/>
        <v>0</v>
      </c>
    </row>
    <row r="40" spans="1:17" x14ac:dyDescent="0.2">
      <c r="A40" s="4">
        <v>41334</v>
      </c>
      <c r="B40" s="2">
        <v>64.849999999999994</v>
      </c>
      <c r="C40" s="2">
        <v>57.94</v>
      </c>
      <c r="D40" s="3">
        <f t="shared" si="12"/>
        <v>3.4785383756183119E-2</v>
      </c>
      <c r="E40" s="3">
        <f t="shared" si="2"/>
        <v>8.6370703057525589E-4</v>
      </c>
      <c r="F40">
        <f t="shared" si="3"/>
        <v>3.1393216083622333E-2</v>
      </c>
      <c r="G40">
        <f t="shared" si="4"/>
        <v>2.1216713065939974E-2</v>
      </c>
      <c r="H40">
        <f t="shared" si="5"/>
        <v>1.1040210048257615E-2</v>
      </c>
      <c r="I40">
        <f t="shared" si="13"/>
        <v>15400.457733553934</v>
      </c>
      <c r="J40">
        <f t="shared" si="6"/>
        <v>15400.457733553934</v>
      </c>
      <c r="K40">
        <f t="shared" si="11"/>
        <v>14136.760649715801</v>
      </c>
      <c r="L40">
        <f t="shared" si="7"/>
        <v>14136.760649715801</v>
      </c>
      <c r="M40">
        <f t="shared" si="8"/>
        <v>12869.321609456538</v>
      </c>
      <c r="N40">
        <f t="shared" si="9"/>
        <v>12869.321609456538</v>
      </c>
      <c r="O40">
        <f t="shared" si="14"/>
        <v>0</v>
      </c>
      <c r="P40">
        <f t="shared" si="0"/>
        <v>0</v>
      </c>
      <c r="Q40">
        <f t="shared" si="1"/>
        <v>0</v>
      </c>
    </row>
    <row r="41" spans="1:17" x14ac:dyDescent="0.2">
      <c r="A41" s="4">
        <v>41365</v>
      </c>
      <c r="B41" s="2">
        <v>66.19</v>
      </c>
      <c r="C41" s="2">
        <v>58.43</v>
      </c>
      <c r="D41" s="3">
        <f t="shared" si="12"/>
        <v>2.0663068619892089E-2</v>
      </c>
      <c r="E41" s="3">
        <f t="shared" si="2"/>
        <v>8.4570245081119211E-3</v>
      </c>
      <c r="F41">
        <f t="shared" si="3"/>
        <v>1.944246420871407E-2</v>
      </c>
      <c r="G41">
        <f t="shared" si="4"/>
        <v>1.578065097518002E-2</v>
      </c>
      <c r="H41">
        <f t="shared" si="5"/>
        <v>1.2118837741645971E-2</v>
      </c>
      <c r="I41">
        <f t="shared" si="13"/>
        <v>15699.880581836371</v>
      </c>
      <c r="J41">
        <f t="shared" si="6"/>
        <v>15699.880581836371</v>
      </c>
      <c r="K41">
        <f t="shared" si="11"/>
        <v>14359.847935448626</v>
      </c>
      <c r="L41">
        <f t="shared" si="7"/>
        <v>14359.847935448626</v>
      </c>
      <c r="M41">
        <f t="shared" si="8"/>
        <v>13025.282829886599</v>
      </c>
      <c r="N41">
        <f t="shared" si="9"/>
        <v>13025.282829886599</v>
      </c>
      <c r="O41">
        <f t="shared" si="14"/>
        <v>0</v>
      </c>
      <c r="P41">
        <f t="shared" si="0"/>
        <v>0</v>
      </c>
      <c r="Q41">
        <f t="shared" si="1"/>
        <v>0</v>
      </c>
    </row>
    <row r="42" spans="1:17" x14ac:dyDescent="0.2">
      <c r="A42" s="4">
        <v>41395</v>
      </c>
      <c r="B42" s="2">
        <v>67.81</v>
      </c>
      <c r="C42" s="2">
        <v>57.4</v>
      </c>
      <c r="D42" s="3">
        <f t="shared" si="12"/>
        <v>2.4474996222994427E-2</v>
      </c>
      <c r="E42" s="3">
        <f t="shared" si="2"/>
        <v>-1.7627930857436303E-2</v>
      </c>
      <c r="F42">
        <f t="shared" si="3"/>
        <v>2.0264703514951354E-2</v>
      </c>
      <c r="G42">
        <f t="shared" si="4"/>
        <v>7.6338253908221337E-3</v>
      </c>
      <c r="H42">
        <f t="shared" si="5"/>
        <v>-4.9970527333070827E-3</v>
      </c>
      <c r="I42">
        <f t="shared" si="13"/>
        <v>16018.034007047425</v>
      </c>
      <c r="J42">
        <f t="shared" si="6"/>
        <v>16018.034007047425</v>
      </c>
      <c r="K42">
        <f t="shared" si="11"/>
        <v>14469.468507226598</v>
      </c>
      <c r="L42">
        <f t="shared" si="7"/>
        <v>14469.468507226598</v>
      </c>
      <c r="M42">
        <f t="shared" si="8"/>
        <v>12960.194804719416</v>
      </c>
      <c r="N42">
        <f t="shared" si="9"/>
        <v>13025.282829886599</v>
      </c>
      <c r="O42">
        <f t="shared" si="14"/>
        <v>0</v>
      </c>
      <c r="P42">
        <f t="shared" si="0"/>
        <v>0</v>
      </c>
      <c r="Q42">
        <f t="shared" si="1"/>
        <v>-4.9970527333070835E-3</v>
      </c>
    </row>
    <row r="43" spans="1:17" x14ac:dyDescent="0.2">
      <c r="A43" s="4">
        <v>41426</v>
      </c>
      <c r="B43" s="2">
        <v>66.52</v>
      </c>
      <c r="C43" s="2">
        <v>56.45</v>
      </c>
      <c r="D43" s="3">
        <f t="shared" si="12"/>
        <v>-1.9023742810794997E-2</v>
      </c>
      <c r="E43" s="3">
        <f t="shared" si="2"/>
        <v>-1.6550522648083543E-2</v>
      </c>
      <c r="F43">
        <f t="shared" si="3"/>
        <v>-1.8776420794523851E-2</v>
      </c>
      <c r="G43">
        <f t="shared" si="4"/>
        <v>-1.8034454745710415E-2</v>
      </c>
      <c r="H43">
        <f t="shared" si="5"/>
        <v>-1.7292488696896979E-2</v>
      </c>
      <c r="I43">
        <f t="shared" si="13"/>
        <v>15717.27266023011</v>
      </c>
      <c r="J43">
        <f t="shared" si="6"/>
        <v>16018.034007047425</v>
      </c>
      <c r="K43">
        <f t="shared" si="11"/>
        <v>14208.519532238539</v>
      </c>
      <c r="L43">
        <f t="shared" si="7"/>
        <v>14469.468507226598</v>
      </c>
      <c r="M43">
        <f t="shared" si="8"/>
        <v>12736.080782549223</v>
      </c>
      <c r="N43">
        <f t="shared" si="9"/>
        <v>13025.282829886599</v>
      </c>
      <c r="O43">
        <f t="shared" si="14"/>
        <v>-1.8776420794523796E-2</v>
      </c>
      <c r="P43">
        <f t="shared" si="0"/>
        <v>-1.8034454745710415E-2</v>
      </c>
      <c r="Q43">
        <f t="shared" si="1"/>
        <v>-2.2203129952295564E-2</v>
      </c>
    </row>
    <row r="44" spans="1:17" x14ac:dyDescent="0.2">
      <c r="A44" s="4">
        <v>41456</v>
      </c>
      <c r="B44" s="2">
        <v>70.67</v>
      </c>
      <c r="C44" s="2">
        <v>56.66</v>
      </c>
      <c r="D44" s="3">
        <f t="shared" si="12"/>
        <v>6.2387251954299616E-2</v>
      </c>
      <c r="E44" s="3">
        <f t="shared" si="2"/>
        <v>3.7201062887510794E-3</v>
      </c>
      <c r="F44">
        <f t="shared" si="3"/>
        <v>5.6520537387744769E-2</v>
      </c>
      <c r="G44">
        <f t="shared" si="4"/>
        <v>3.8920393688080195E-2</v>
      </c>
      <c r="H44">
        <f t="shared" si="5"/>
        <v>2.1320249988415637E-2</v>
      </c>
      <c r="I44">
        <f t="shared" si="13"/>
        <v>16605.621357256026</v>
      </c>
      <c r="J44">
        <f t="shared" si="6"/>
        <v>16605.621357256026</v>
      </c>
      <c r="K44">
        <f t="shared" si="11"/>
        <v>14761.52070615804</v>
      </c>
      <c r="L44">
        <f t="shared" si="7"/>
        <v>14761.52070615804</v>
      </c>
      <c r="M44">
        <f t="shared" si="8"/>
        <v>13007.617208705828</v>
      </c>
      <c r="N44">
        <f t="shared" si="9"/>
        <v>13025.282829886599</v>
      </c>
      <c r="O44">
        <f t="shared" si="14"/>
        <v>0</v>
      </c>
      <c r="P44">
        <f t="shared" si="0"/>
        <v>0</v>
      </c>
      <c r="Q44">
        <f t="shared" si="1"/>
        <v>-1.356256244988252E-3</v>
      </c>
    </row>
    <row r="45" spans="1:17" x14ac:dyDescent="0.2">
      <c r="A45" s="4">
        <v>41487</v>
      </c>
      <c r="B45" s="2">
        <v>68.53</v>
      </c>
      <c r="C45" s="2">
        <v>56.18</v>
      </c>
      <c r="D45" s="3">
        <f t="shared" si="12"/>
        <v>-3.0281590491014532E-2</v>
      </c>
      <c r="E45" s="3">
        <f t="shared" si="2"/>
        <v>-8.4715848923402337E-3</v>
      </c>
      <c r="F45">
        <f t="shared" si="3"/>
        <v>-2.8100589931147103E-2</v>
      </c>
      <c r="G45">
        <f t="shared" si="4"/>
        <v>-2.1557588251544812E-2</v>
      </c>
      <c r="H45">
        <f t="shared" si="5"/>
        <v>-1.5014586571942521E-2</v>
      </c>
      <c r="I45">
        <f t="shared" si="13"/>
        <v>16138.993600943877</v>
      </c>
      <c r="J45">
        <f t="shared" si="6"/>
        <v>16605.621357256026</v>
      </c>
      <c r="K45">
        <f t="shared" si="11"/>
        <v>14443.297920808032</v>
      </c>
      <c r="L45">
        <f t="shared" si="7"/>
        <v>14761.52070615804</v>
      </c>
      <c r="M45">
        <f t="shared" si="8"/>
        <v>12812.313214031024</v>
      </c>
      <c r="N45">
        <f t="shared" si="9"/>
        <v>13025.282829886599</v>
      </c>
      <c r="O45">
        <f t="shared" si="14"/>
        <v>-2.8100589931147057E-2</v>
      </c>
      <c r="P45">
        <f t="shared" si="0"/>
        <v>-2.1557588251544857E-2</v>
      </c>
      <c r="Q45">
        <f t="shared" si="1"/>
        <v>-1.6350479190126666E-2</v>
      </c>
    </row>
    <row r="46" spans="1:17" x14ac:dyDescent="0.2">
      <c r="A46" s="4">
        <v>41518</v>
      </c>
      <c r="B46" s="2">
        <v>70.86</v>
      </c>
      <c r="C46" s="2">
        <v>56.8</v>
      </c>
      <c r="D46" s="3">
        <f t="shared" si="12"/>
        <v>3.3999708157011588E-2</v>
      </c>
      <c r="E46" s="3">
        <f t="shared" si="2"/>
        <v>1.103595585617656E-2</v>
      </c>
      <c r="F46">
        <f t="shared" si="3"/>
        <v>3.1703332926928084E-2</v>
      </c>
      <c r="G46">
        <f t="shared" si="4"/>
        <v>2.4814207236677578E-2</v>
      </c>
      <c r="H46">
        <f t="shared" si="5"/>
        <v>1.7925081546427066E-2</v>
      </c>
      <c r="I46">
        <f t="shared" si="13"/>
        <v>16650.653488180164</v>
      </c>
      <c r="J46">
        <f t="shared" si="6"/>
        <v>16650.653488180164</v>
      </c>
      <c r="K46">
        <f t="shared" si="11"/>
        <v>14801.696908596035</v>
      </c>
      <c r="L46">
        <f t="shared" si="7"/>
        <v>14801.696908596035</v>
      </c>
      <c r="M46">
        <f t="shared" si="8"/>
        <v>13041.974973190896</v>
      </c>
      <c r="N46">
        <f t="shared" si="9"/>
        <v>13041.974973190896</v>
      </c>
      <c r="O46">
        <f t="shared" si="14"/>
        <v>0</v>
      </c>
      <c r="P46">
        <f t="shared" si="0"/>
        <v>0</v>
      </c>
      <c r="Q46">
        <f t="shared" si="1"/>
        <v>0</v>
      </c>
    </row>
    <row r="47" spans="1:17" x14ac:dyDescent="0.2">
      <c r="A47" s="4">
        <v>41548</v>
      </c>
      <c r="B47" s="2">
        <v>74.239999999999995</v>
      </c>
      <c r="C47" s="2">
        <v>57.28</v>
      </c>
      <c r="D47" s="3">
        <f t="shared" si="12"/>
        <v>4.7699689528647893E-2</v>
      </c>
      <c r="E47" s="3">
        <f t="shared" si="2"/>
        <v>8.4507042253521014E-3</v>
      </c>
      <c r="F47">
        <f t="shared" si="3"/>
        <v>4.3774790998318318E-2</v>
      </c>
      <c r="G47">
        <f t="shared" si="4"/>
        <v>3.2000095407329572E-2</v>
      </c>
      <c r="H47">
        <f t="shared" si="5"/>
        <v>2.0225399816340837E-2</v>
      </c>
      <c r="I47">
        <f t="shared" si="13"/>
        <v>17379.53236461067</v>
      </c>
      <c r="J47">
        <f t="shared" si="6"/>
        <v>17379.53236461067</v>
      </c>
      <c r="K47">
        <f t="shared" si="11"/>
        <v>15275.352621861484</v>
      </c>
      <c r="L47">
        <f t="shared" si="7"/>
        <v>15275.352621861484</v>
      </c>
      <c r="M47">
        <f t="shared" si="8"/>
        <v>13305.754131418393</v>
      </c>
      <c r="N47">
        <f t="shared" si="9"/>
        <v>13305.754131418393</v>
      </c>
      <c r="O47">
        <f t="shared" si="14"/>
        <v>0</v>
      </c>
      <c r="P47">
        <f t="shared" si="0"/>
        <v>0</v>
      </c>
      <c r="Q47">
        <f t="shared" si="1"/>
        <v>0</v>
      </c>
    </row>
    <row r="48" spans="1:17" x14ac:dyDescent="0.2">
      <c r="A48" s="4">
        <v>41579</v>
      </c>
      <c r="B48" s="2">
        <v>76.25</v>
      </c>
      <c r="C48" s="2">
        <v>57.11</v>
      </c>
      <c r="D48" s="3">
        <f t="shared" si="12"/>
        <v>2.7074353448276023E-2</v>
      </c>
      <c r="E48" s="3">
        <f t="shared" si="2"/>
        <v>-2.9678770949721489E-3</v>
      </c>
      <c r="F48">
        <f t="shared" si="3"/>
        <v>2.4070130393951207E-2</v>
      </c>
      <c r="G48">
        <f t="shared" si="4"/>
        <v>1.5057461230976753E-2</v>
      </c>
      <c r="H48">
        <f t="shared" si="5"/>
        <v>6.0447920680023019E-3</v>
      </c>
      <c r="I48">
        <f t="shared" si="13"/>
        <v>17797.859974812745</v>
      </c>
      <c r="J48">
        <f t="shared" si="6"/>
        <v>17797.859974812745</v>
      </c>
      <c r="K48">
        <f t="shared" si="11"/>
        <v>15505.360651754663</v>
      </c>
      <c r="L48">
        <f t="shared" si="7"/>
        <v>15505.360651754663</v>
      </c>
      <c r="M48">
        <f t="shared" si="8"/>
        <v>13386.184648450779</v>
      </c>
      <c r="N48">
        <f t="shared" si="9"/>
        <v>13386.184648450779</v>
      </c>
      <c r="O48">
        <f t="shared" si="14"/>
        <v>0</v>
      </c>
      <c r="P48">
        <f t="shared" si="0"/>
        <v>0</v>
      </c>
      <c r="Q48">
        <f t="shared" si="1"/>
        <v>0</v>
      </c>
    </row>
    <row r="49" spans="1:17" x14ac:dyDescent="0.2">
      <c r="A49" s="4">
        <v>41609</v>
      </c>
      <c r="B49" s="2">
        <v>77.92</v>
      </c>
      <c r="C49" s="2">
        <v>56.58</v>
      </c>
      <c r="D49" s="3">
        <f t="shared" si="12"/>
        <v>2.1901639344262369E-2</v>
      </c>
      <c r="E49" s="3">
        <f t="shared" si="2"/>
        <v>-9.280336193311145E-3</v>
      </c>
      <c r="F49">
        <f t="shared" si="3"/>
        <v>1.8783441790505017E-2</v>
      </c>
      <c r="G49">
        <f t="shared" si="4"/>
        <v>9.4288491292329624E-3</v>
      </c>
      <c r="H49">
        <f t="shared" si="5"/>
        <v>7.4256467960909581E-5</v>
      </c>
      <c r="I49">
        <f t="shared" si="13"/>
        <v>18132.165041645199</v>
      </c>
      <c r="J49">
        <f t="shared" si="6"/>
        <v>18132.165041645199</v>
      </c>
      <c r="K49">
        <f t="shared" si="11"/>
        <v>15651.558358034403</v>
      </c>
      <c r="L49">
        <f t="shared" si="7"/>
        <v>15651.558358034403</v>
      </c>
      <c r="M49">
        <f t="shared" si="8"/>
        <v>13387.178659242247</v>
      </c>
      <c r="N49">
        <f t="shared" si="9"/>
        <v>13387.178659242247</v>
      </c>
      <c r="O49">
        <f t="shared" si="14"/>
        <v>0</v>
      </c>
      <c r="P49">
        <f t="shared" si="0"/>
        <v>0</v>
      </c>
      <c r="Q49">
        <f t="shared" si="1"/>
        <v>0</v>
      </c>
    </row>
    <row r="50" spans="1:17" x14ac:dyDescent="0.2">
      <c r="A50" s="4">
        <v>41640</v>
      </c>
      <c r="B50" s="2">
        <v>75.849999999999994</v>
      </c>
      <c r="C50" s="2">
        <v>57.75</v>
      </c>
      <c r="D50" s="3">
        <f t="shared" si="12"/>
        <v>-2.6565708418891276E-2</v>
      </c>
      <c r="E50" s="3">
        <f t="shared" si="2"/>
        <v>2.067868504772008E-2</v>
      </c>
      <c r="F50">
        <f t="shared" si="3"/>
        <v>-2.1841269072230138E-2</v>
      </c>
      <c r="G50">
        <f t="shared" si="4"/>
        <v>-7.667951032246734E-3</v>
      </c>
      <c r="H50">
        <f t="shared" si="5"/>
        <v>6.5053670077366722E-3</v>
      </c>
      <c r="I50">
        <f t="shared" si="13"/>
        <v>17736.13554610854</v>
      </c>
      <c r="J50">
        <f t="shared" si="6"/>
        <v>18132.165041645199</v>
      </c>
      <c r="K50">
        <f t="shared" si="11"/>
        <v>15531.542974966644</v>
      </c>
      <c r="L50">
        <f t="shared" si="7"/>
        <v>15651.558358034403</v>
      </c>
      <c r="M50">
        <f t="shared" si="8"/>
        <v>13474.267169618757</v>
      </c>
      <c r="N50">
        <f t="shared" si="9"/>
        <v>13474.267169618757</v>
      </c>
      <c r="O50">
        <f t="shared" si="14"/>
        <v>-2.1841269072230163E-2</v>
      </c>
      <c r="P50">
        <f t="shared" si="0"/>
        <v>-7.6679510322467115E-3</v>
      </c>
      <c r="Q50">
        <f t="shared" si="1"/>
        <v>0</v>
      </c>
    </row>
    <row r="51" spans="1:17" x14ac:dyDescent="0.2">
      <c r="A51" s="4">
        <v>41671</v>
      </c>
      <c r="B51" s="2">
        <v>79.540000000000006</v>
      </c>
      <c r="C51" s="2">
        <v>57.9</v>
      </c>
      <c r="D51" s="3">
        <f t="shared" si="12"/>
        <v>4.8648648648648818E-2</v>
      </c>
      <c r="E51" s="3">
        <f t="shared" si="2"/>
        <v>2.5974025974024872E-3</v>
      </c>
      <c r="F51">
        <f t="shared" si="3"/>
        <v>4.4043524043524192E-2</v>
      </c>
      <c r="G51">
        <f t="shared" si="4"/>
        <v>3.0228150228150286E-2</v>
      </c>
      <c r="H51">
        <f t="shared" si="5"/>
        <v>1.6412776412776386E-2</v>
      </c>
      <c r="I51">
        <f t="shared" si="13"/>
        <v>18517.297458472774</v>
      </c>
      <c r="J51">
        <f>MAX(J50,I51)</f>
        <v>18517.297458472774</v>
      </c>
      <c r="K51">
        <f t="shared" si="11"/>
        <v>16001.032789288907</v>
      </c>
      <c r="L51">
        <f t="shared" si="7"/>
        <v>16001.032789288907</v>
      </c>
      <c r="M51">
        <f t="shared" si="8"/>
        <v>13695.417303999724</v>
      </c>
      <c r="N51">
        <f t="shared" si="9"/>
        <v>13695.417303999724</v>
      </c>
      <c r="O51">
        <f t="shared" si="14"/>
        <v>0</v>
      </c>
      <c r="P51">
        <f t="shared" si="0"/>
        <v>0</v>
      </c>
      <c r="Q51">
        <f t="shared" si="1"/>
        <v>0</v>
      </c>
    </row>
    <row r="52" spans="1:17" x14ac:dyDescent="0.2">
      <c r="A52" s="4">
        <v>41699</v>
      </c>
      <c r="B52" s="2">
        <v>79.59</v>
      </c>
      <c r="C52" s="2">
        <v>57.8</v>
      </c>
      <c r="D52" s="3">
        <f t="shared" si="12"/>
        <v>6.2861453356788388E-4</v>
      </c>
      <c r="E52" s="3">
        <f t="shared" si="2"/>
        <v>-1.7271157167529916E-3</v>
      </c>
      <c r="F52">
        <f t="shared" si="3"/>
        <v>3.9304150853579627E-4</v>
      </c>
      <c r="G52">
        <f t="shared" si="4"/>
        <v>-3.136775665604664E-4</v>
      </c>
      <c r="H52">
        <f t="shared" si="5"/>
        <v>-1.0203966416567289E-3</v>
      </c>
      <c r="I52">
        <f t="shared" si="13"/>
        <v>18524.575524999858</v>
      </c>
      <c r="J52">
        <f t="shared" si="6"/>
        <v>18524.575524999858</v>
      </c>
      <c r="K52">
        <f t="shared" si="11"/>
        <v>15996.01362426111</v>
      </c>
      <c r="L52">
        <f t="shared" si="7"/>
        <v>16001.032789288907</v>
      </c>
      <c r="M52">
        <f t="shared" si="8"/>
        <v>13681.442546176635</v>
      </c>
      <c r="N52">
        <f t="shared" si="9"/>
        <v>13695.417303999724</v>
      </c>
      <c r="O52">
        <f t="shared" si="14"/>
        <v>0</v>
      </c>
      <c r="P52">
        <f t="shared" si="0"/>
        <v>-3.1367756656042189E-4</v>
      </c>
      <c r="Q52">
        <f t="shared" si="1"/>
        <v>-1.0203966416567622E-3</v>
      </c>
    </row>
    <row r="53" spans="1:17" x14ac:dyDescent="0.2">
      <c r="A53" s="4">
        <v>41730</v>
      </c>
      <c r="B53" s="2">
        <v>79.989999999999995</v>
      </c>
      <c r="C53" s="2">
        <v>58.25</v>
      </c>
      <c r="D53" s="3">
        <f t="shared" si="12"/>
        <v>5.0257570046488009E-3</v>
      </c>
      <c r="E53" s="3">
        <f t="shared" si="2"/>
        <v>7.7854671280277454E-3</v>
      </c>
      <c r="F53">
        <f t="shared" si="3"/>
        <v>5.3017280169866962E-3</v>
      </c>
      <c r="G53">
        <f t="shared" si="4"/>
        <v>6.1296410540003787E-3</v>
      </c>
      <c r="H53">
        <f t="shared" si="5"/>
        <v>6.9575540910140621E-3</v>
      </c>
      <c r="I53">
        <f t="shared" si="13"/>
        <v>18622.787786063534</v>
      </c>
      <c r="J53">
        <f t="shared" si="6"/>
        <v>18622.787786063534</v>
      </c>
      <c r="K53">
        <f t="shared" si="11"/>
        <v>16094.063446072731</v>
      </c>
      <c r="L53">
        <f t="shared" si="7"/>
        <v>16094.063446072731</v>
      </c>
      <c r="M53">
        <f t="shared" si="8"/>
        <v>13776.631922734759</v>
      </c>
      <c r="N53">
        <f t="shared" si="9"/>
        <v>13776.631922734759</v>
      </c>
      <c r="O53">
        <f t="shared" si="14"/>
        <v>0</v>
      </c>
      <c r="P53">
        <f t="shared" si="0"/>
        <v>0</v>
      </c>
      <c r="Q53">
        <f t="shared" si="1"/>
        <v>0</v>
      </c>
    </row>
    <row r="54" spans="1:17" x14ac:dyDescent="0.2">
      <c r="A54" s="4">
        <v>41760</v>
      </c>
      <c r="B54" s="2">
        <v>81.67</v>
      </c>
      <c r="C54" s="2">
        <v>58.88</v>
      </c>
      <c r="D54" s="3">
        <f t="shared" si="12"/>
        <v>2.1002625328166102E-2</v>
      </c>
      <c r="E54" s="3">
        <f t="shared" si="2"/>
        <v>1.0815450643776758E-2</v>
      </c>
      <c r="F54">
        <f t="shared" si="3"/>
        <v>1.998390785972717E-2</v>
      </c>
      <c r="G54">
        <f t="shared" si="4"/>
        <v>1.6927755454410366E-2</v>
      </c>
      <c r="H54">
        <f t="shared" si="5"/>
        <v>1.3871603049093562E-2</v>
      </c>
      <c r="I54">
        <f t="shared" si="13"/>
        <v>18994.943861271484</v>
      </c>
      <c r="J54">
        <f t="shared" si="6"/>
        <v>18994.943861271484</v>
      </c>
      <c r="K54">
        <f t="shared" si="11"/>
        <v>16366.499816355614</v>
      </c>
      <c r="L54">
        <f t="shared" si="7"/>
        <v>16366.499816355614</v>
      </c>
      <c r="M54">
        <f t="shared" si="8"/>
        <v>13967.735892120407</v>
      </c>
      <c r="N54">
        <f t="shared" si="9"/>
        <v>13967.735892120407</v>
      </c>
      <c r="O54">
        <f t="shared" si="14"/>
        <v>0</v>
      </c>
      <c r="P54">
        <f t="shared" si="0"/>
        <v>0</v>
      </c>
      <c r="Q54">
        <f t="shared" si="1"/>
        <v>0</v>
      </c>
    </row>
    <row r="55" spans="1:17" x14ac:dyDescent="0.2">
      <c r="A55" s="4">
        <v>41791</v>
      </c>
      <c r="B55" s="2">
        <v>83.47</v>
      </c>
      <c r="C55" s="2">
        <v>58.93</v>
      </c>
      <c r="D55" s="3">
        <f t="shared" si="12"/>
        <v>2.2039916738092247E-2</v>
      </c>
      <c r="E55" s="3">
        <f t="shared" si="2"/>
        <v>8.4918478260864738E-4</v>
      </c>
      <c r="F55">
        <f t="shared" si="3"/>
        <v>1.9920843542543889E-2</v>
      </c>
      <c r="G55">
        <f t="shared" si="4"/>
        <v>1.3563623955898807E-2</v>
      </c>
      <c r="H55">
        <f t="shared" si="5"/>
        <v>7.206404369253727E-3</v>
      </c>
      <c r="I55">
        <f t="shared" si="13"/>
        <v>19373.339166031281</v>
      </c>
      <c r="J55">
        <f t="shared" si="6"/>
        <v>19373.339166031281</v>
      </c>
      <c r="K55">
        <f t="shared" si="11"/>
        <v>16588.488865338946</v>
      </c>
      <c r="L55">
        <f t="shared" si="7"/>
        <v>16588.488865338946</v>
      </c>
      <c r="M55">
        <f t="shared" si="8"/>
        <v>14068.393045081964</v>
      </c>
      <c r="N55">
        <f t="shared" si="9"/>
        <v>14068.393045081964</v>
      </c>
      <c r="O55">
        <f t="shared" si="14"/>
        <v>0</v>
      </c>
      <c r="P55">
        <f t="shared" si="0"/>
        <v>0</v>
      </c>
      <c r="Q55">
        <f t="shared" si="1"/>
        <v>0</v>
      </c>
    </row>
    <row r="56" spans="1:17" x14ac:dyDescent="0.2">
      <c r="A56" s="4">
        <v>41821</v>
      </c>
      <c r="B56" s="2">
        <v>82.14</v>
      </c>
      <c r="C56" s="2">
        <v>58.77</v>
      </c>
      <c r="D56" s="3">
        <f t="shared" si="12"/>
        <v>-1.5933868455732525E-2</v>
      </c>
      <c r="E56" s="3">
        <f t="shared" si="2"/>
        <v>-2.7150856948922053E-3</v>
      </c>
      <c r="F56">
        <f t="shared" si="3"/>
        <v>-1.4611990179648492E-2</v>
      </c>
      <c r="G56">
        <f t="shared" si="4"/>
        <v>-1.0646355351396398E-2</v>
      </c>
      <c r="H56">
        <f t="shared" si="5"/>
        <v>-6.6807205231443016E-3</v>
      </c>
      <c r="I56">
        <f t="shared" si="13"/>
        <v>19090.256124390231</v>
      </c>
      <c r="J56">
        <f t="shared" si="6"/>
        <v>19373.339166031281</v>
      </c>
      <c r="K56">
        <f t="shared" si="11"/>
        <v>16411.881918135867</v>
      </c>
      <c r="L56">
        <f t="shared" si="7"/>
        <v>16588.488865338946</v>
      </c>
      <c r="M56">
        <f t="shared" si="8"/>
        <v>13974.406042938024</v>
      </c>
      <c r="N56">
        <f t="shared" si="9"/>
        <v>14068.393045081964</v>
      </c>
      <c r="O56">
        <f t="shared" si="14"/>
        <v>-1.4611990179648537E-2</v>
      </c>
      <c r="P56">
        <f t="shared" si="0"/>
        <v>-1.0646355351396353E-2</v>
      </c>
      <c r="Q56">
        <f t="shared" si="1"/>
        <v>-6.68072052314439E-3</v>
      </c>
    </row>
    <row r="57" spans="1:17" x14ac:dyDescent="0.2">
      <c r="A57" s="4">
        <v>41852</v>
      </c>
      <c r="B57" s="2">
        <v>85.55</v>
      </c>
      <c r="C57" s="2">
        <v>59.44</v>
      </c>
      <c r="D57" s="3">
        <f t="shared" si="12"/>
        <v>4.1514487460433402E-2</v>
      </c>
      <c r="E57" s="3">
        <f t="shared" si="2"/>
        <v>1.1400374340649888E-2</v>
      </c>
      <c r="F57">
        <f t="shared" si="3"/>
        <v>3.8503076148455051E-2</v>
      </c>
      <c r="G57">
        <f t="shared" si="4"/>
        <v>2.9468842212519997E-2</v>
      </c>
      <c r="H57">
        <f t="shared" si="5"/>
        <v>2.0434608276584942E-2</v>
      </c>
      <c r="I57">
        <f t="shared" si="13"/>
        <v>19825.28970964114</v>
      </c>
      <c r="J57">
        <f t="shared" si="6"/>
        <v>19825.28970964114</v>
      </c>
      <c r="K57">
        <f t="shared" si="11"/>
        <v>16895.521076791923</v>
      </c>
      <c r="L57">
        <f t="shared" si="7"/>
        <v>16895.521076791923</v>
      </c>
      <c r="M57">
        <f t="shared" si="8"/>
        <v>14259.967556323405</v>
      </c>
      <c r="N57">
        <f t="shared" si="9"/>
        <v>14259.967556323405</v>
      </c>
      <c r="O57">
        <f t="shared" si="14"/>
        <v>0</v>
      </c>
      <c r="P57">
        <f t="shared" si="0"/>
        <v>0</v>
      </c>
      <c r="Q57">
        <f t="shared" si="1"/>
        <v>0</v>
      </c>
    </row>
    <row r="58" spans="1:17" x14ac:dyDescent="0.2">
      <c r="A58" s="4">
        <v>41883</v>
      </c>
      <c r="B58" s="2">
        <v>83.38</v>
      </c>
      <c r="C58" s="2">
        <v>59.1</v>
      </c>
      <c r="D58" s="3">
        <f t="shared" si="12"/>
        <v>-2.5365283459964916E-2</v>
      </c>
      <c r="E58" s="3">
        <f t="shared" si="2"/>
        <v>-5.7200538358007647E-3</v>
      </c>
      <c r="F58">
        <f t="shared" si="3"/>
        <v>-2.3400760497548502E-2</v>
      </c>
      <c r="G58">
        <f t="shared" si="4"/>
        <v>-1.7507191610299254E-2</v>
      </c>
      <c r="H58">
        <f t="shared" si="5"/>
        <v>-1.1613622723050009E-2</v>
      </c>
      <c r="I58">
        <f t="shared" si="13"/>
        <v>19361.362853351315</v>
      </c>
      <c r="J58">
        <f t="shared" si="6"/>
        <v>19825.28970964114</v>
      </c>
      <c r="K58">
        <f t="shared" si="11"/>
        <v>16599.727951944678</v>
      </c>
      <c r="L58">
        <f t="shared" si="7"/>
        <v>16895.521076791923</v>
      </c>
      <c r="M58">
        <f t="shared" si="8"/>
        <v>14094.357673081331</v>
      </c>
      <c r="N58">
        <f t="shared" si="9"/>
        <v>14259.967556323405</v>
      </c>
      <c r="O58">
        <f t="shared" si="14"/>
        <v>-2.3400760497548467E-2</v>
      </c>
      <c r="P58">
        <f t="shared" si="0"/>
        <v>-1.7507191610299233E-2</v>
      </c>
      <c r="Q58">
        <f t="shared" si="1"/>
        <v>-1.1613622723049999E-2</v>
      </c>
    </row>
    <row r="59" spans="1:17" x14ac:dyDescent="0.2">
      <c r="A59" s="4">
        <v>41913</v>
      </c>
      <c r="B59" s="2">
        <v>86.06</v>
      </c>
      <c r="C59" s="2">
        <v>59.53</v>
      </c>
      <c r="D59" s="3">
        <f t="shared" si="12"/>
        <v>3.2142000479731481E-2</v>
      </c>
      <c r="E59" s="3">
        <f t="shared" si="2"/>
        <v>7.2758037225042482E-3</v>
      </c>
      <c r="F59">
        <f t="shared" si="3"/>
        <v>2.9655380804008757E-2</v>
      </c>
      <c r="G59">
        <f t="shared" si="4"/>
        <v>2.2195521776840588E-2</v>
      </c>
      <c r="H59">
        <f t="shared" si="5"/>
        <v>1.4735662749672418E-2</v>
      </c>
      <c r="I59">
        <f t="shared" si="13"/>
        <v>19935.531441652038</v>
      </c>
      <c r="J59">
        <f t="shared" si="6"/>
        <v>19935.531441652038</v>
      </c>
      <c r="K59">
        <f t="shared" si="11"/>
        <v>16968.167575191696</v>
      </c>
      <c r="L59">
        <f t="shared" si="7"/>
        <v>16968.167575191696</v>
      </c>
      <c r="M59">
        <f t="shared" si="8"/>
        <v>14302.047374425116</v>
      </c>
      <c r="N59">
        <f t="shared" si="9"/>
        <v>14302.047374425116</v>
      </c>
      <c r="O59">
        <f t="shared" si="14"/>
        <v>0</v>
      </c>
      <c r="P59">
        <f t="shared" si="0"/>
        <v>0</v>
      </c>
      <c r="Q59">
        <f t="shared" si="1"/>
        <v>0</v>
      </c>
    </row>
    <row r="60" spans="1:17" x14ac:dyDescent="0.2">
      <c r="A60" s="4">
        <v>41944</v>
      </c>
      <c r="B60" s="2">
        <v>88.19</v>
      </c>
      <c r="C60" s="2">
        <v>60.02</v>
      </c>
      <c r="D60" s="3">
        <f t="shared" si="12"/>
        <v>2.4750174297001992E-2</v>
      </c>
      <c r="E60" s="3">
        <f t="shared" si="2"/>
        <v>8.2311439610280868E-3</v>
      </c>
      <c r="F60">
        <f t="shared" si="3"/>
        <v>2.3098271263404604E-2</v>
      </c>
      <c r="G60">
        <f t="shared" si="4"/>
        <v>1.8142562162612431E-2</v>
      </c>
      <c r="H60">
        <f t="shared" si="5"/>
        <v>1.3186853061820257E-2</v>
      </c>
      <c r="I60">
        <f t="shared" si="13"/>
        <v>20396.007754671449</v>
      </c>
      <c r="J60">
        <f t="shared" si="6"/>
        <v>20396.007754671449</v>
      </c>
      <c r="K60">
        <f t="shared" si="11"/>
        <v>17276.013610210233</v>
      </c>
      <c r="L60">
        <f t="shared" si="7"/>
        <v>17276.013610210233</v>
      </c>
      <c r="M60">
        <f t="shared" si="8"/>
        <v>14490.646371634852</v>
      </c>
      <c r="N60">
        <f t="shared" si="9"/>
        <v>14490.646371634852</v>
      </c>
      <c r="O60">
        <f t="shared" si="14"/>
        <v>0</v>
      </c>
      <c r="P60">
        <f t="shared" si="0"/>
        <v>0</v>
      </c>
      <c r="Q60">
        <f t="shared" si="1"/>
        <v>0</v>
      </c>
    </row>
    <row r="61" spans="1:17" x14ac:dyDescent="0.2">
      <c r="A61" s="4">
        <v>41974</v>
      </c>
      <c r="B61" s="2">
        <v>87.7</v>
      </c>
      <c r="C61" s="2">
        <v>59.78</v>
      </c>
      <c r="D61" s="3">
        <f t="shared" si="12"/>
        <v>-5.5561855085609624E-3</v>
      </c>
      <c r="E61" s="3">
        <f t="shared" si="2"/>
        <v>-3.9986671109630834E-3</v>
      </c>
      <c r="F61">
        <f t="shared" si="3"/>
        <v>-5.4004336688011747E-3</v>
      </c>
      <c r="G61">
        <f t="shared" si="4"/>
        <v>-4.9331781495218115E-3</v>
      </c>
      <c r="H61">
        <f t="shared" si="5"/>
        <v>-4.4659226302424465E-3</v>
      </c>
      <c r="I61">
        <f t="shared" si="13"/>
        <v>20285.860467683993</v>
      </c>
      <c r="J61">
        <f t="shared" si="6"/>
        <v>20396.007754671449</v>
      </c>
      <c r="K61">
        <f t="shared" si="11"/>
        <v>17190.787957357505</v>
      </c>
      <c r="L61">
        <f t="shared" si="7"/>
        <v>17276.013610210233</v>
      </c>
      <c r="M61">
        <f t="shared" si="8"/>
        <v>14425.932266076927</v>
      </c>
      <c r="N61">
        <f t="shared" si="9"/>
        <v>14490.646371634852</v>
      </c>
      <c r="O61">
        <f t="shared" si="14"/>
        <v>-5.4004336688010524E-3</v>
      </c>
      <c r="P61">
        <f t="shared" si="0"/>
        <v>-4.9331781495216553E-3</v>
      </c>
      <c r="Q61">
        <f t="shared" si="1"/>
        <v>-4.4659226302424804E-3</v>
      </c>
    </row>
    <row r="62" spans="1:17" x14ac:dyDescent="0.2">
      <c r="A62" s="4">
        <v>42005</v>
      </c>
      <c r="B62" s="2">
        <v>85.75</v>
      </c>
      <c r="C62" s="2">
        <v>61.63</v>
      </c>
      <c r="D62" s="3">
        <f t="shared" si="12"/>
        <v>-2.2234891676168766E-2</v>
      </c>
      <c r="E62" s="3">
        <f t="shared" si="2"/>
        <v>3.0946804951488716E-2</v>
      </c>
      <c r="F62">
        <f t="shared" si="3"/>
        <v>-1.6916722013403017E-2</v>
      </c>
      <c r="G62">
        <f t="shared" si="4"/>
        <v>-9.6221302510577159E-4</v>
      </c>
      <c r="H62">
        <f t="shared" si="5"/>
        <v>1.499229596319147E-2</v>
      </c>
      <c r="I62">
        <f t="shared" si="13"/>
        <v>19942.690205349503</v>
      </c>
      <c r="J62">
        <f t="shared" si="6"/>
        <v>20396.007754671449</v>
      </c>
      <c r="K62">
        <f t="shared" si="11"/>
        <v>17174.246757273104</v>
      </c>
      <c r="L62">
        <f t="shared" si="7"/>
        <v>17276.013610210233</v>
      </c>
      <c r="M62">
        <f t="shared" si="8"/>
        <v>14642.210112154904</v>
      </c>
      <c r="N62">
        <f t="shared" si="9"/>
        <v>14642.210112154904</v>
      </c>
      <c r="O62">
        <f t="shared" si="14"/>
        <v>-2.2225798047077139E-2</v>
      </c>
      <c r="P62">
        <f t="shared" si="0"/>
        <v>-5.890644406356782E-3</v>
      </c>
      <c r="Q62">
        <f t="shared" si="1"/>
        <v>0</v>
      </c>
    </row>
    <row r="63" spans="1:17" x14ac:dyDescent="0.2">
      <c r="A63" s="4">
        <v>42036</v>
      </c>
      <c r="B63" s="2">
        <v>90.67</v>
      </c>
      <c r="C63" s="2">
        <v>60.7</v>
      </c>
      <c r="D63" s="3">
        <f t="shared" si="12"/>
        <v>5.7376093294460695E-2</v>
      </c>
      <c r="E63" s="3">
        <f t="shared" si="2"/>
        <v>-1.5090053545351312E-2</v>
      </c>
      <c r="F63">
        <f t="shared" si="3"/>
        <v>5.0129478610479498E-2</v>
      </c>
      <c r="G63">
        <f t="shared" si="4"/>
        <v>2.8389634558535888E-2</v>
      </c>
      <c r="H63">
        <f t="shared" si="5"/>
        <v>6.6497905065922881E-3</v>
      </c>
      <c r="I63">
        <f t="shared" si="13"/>
        <v>20942.406867433991</v>
      </c>
      <c r="J63">
        <f t="shared" si="6"/>
        <v>20942.406867433991</v>
      </c>
      <c r="K63">
        <f t="shared" si="11"/>
        <v>17661.81734653021</v>
      </c>
      <c r="L63">
        <f t="shared" si="7"/>
        <v>17661.81734653021</v>
      </c>
      <c r="M63">
        <f t="shared" si="8"/>
        <v>14739.577741954241</v>
      </c>
      <c r="N63">
        <f t="shared" si="9"/>
        <v>14739.577741954241</v>
      </c>
      <c r="O63">
        <f t="shared" si="14"/>
        <v>0</v>
      </c>
      <c r="P63">
        <f t="shared" si="0"/>
        <v>0</v>
      </c>
      <c r="Q63">
        <f t="shared" si="1"/>
        <v>0</v>
      </c>
    </row>
    <row r="64" spans="1:17" x14ac:dyDescent="0.2">
      <c r="A64" s="4">
        <v>42064</v>
      </c>
      <c r="B64" s="2">
        <v>89.2</v>
      </c>
      <c r="C64" s="2">
        <v>61.04</v>
      </c>
      <c r="D64" s="3">
        <f t="shared" si="12"/>
        <v>-1.6212639241204307E-2</v>
      </c>
      <c r="E64" s="3">
        <f t="shared" si="2"/>
        <v>5.6013179571663407E-3</v>
      </c>
      <c r="F64">
        <f t="shared" si="3"/>
        <v>-1.4031243521367243E-2</v>
      </c>
      <c r="G64">
        <f t="shared" si="4"/>
        <v>-7.4870563618560475E-3</v>
      </c>
      <c r="H64">
        <f t="shared" si="5"/>
        <v>-9.4286920234485424E-4</v>
      </c>
      <c r="I64">
        <f t="shared" si="13"/>
        <v>20648.558856753472</v>
      </c>
      <c r="J64">
        <f t="shared" si="6"/>
        <v>20942.406867433991</v>
      </c>
      <c r="K64">
        <f t="shared" si="11"/>
        <v>17529.582324603929</v>
      </c>
      <c r="L64">
        <f t="shared" si="7"/>
        <v>17661.81734653021</v>
      </c>
      <c r="M64">
        <f t="shared" si="8"/>
        <v>14725.680248045785</v>
      </c>
      <c r="N64">
        <f t="shared" si="9"/>
        <v>14739.577741954241</v>
      </c>
      <c r="O64">
        <f t="shared" si="14"/>
        <v>-1.4031243521367198E-2</v>
      </c>
      <c r="P64">
        <f t="shared" si="0"/>
        <v>-7.4870563618562036E-3</v>
      </c>
      <c r="Q64">
        <f t="shared" si="1"/>
        <v>-9.4286920234487592E-4</v>
      </c>
    </row>
    <row r="65" spans="1:17" x14ac:dyDescent="0.2">
      <c r="A65" s="4">
        <v>42095</v>
      </c>
      <c r="B65" s="2">
        <v>90.17</v>
      </c>
      <c r="C65" s="2">
        <v>60.82</v>
      </c>
      <c r="D65" s="3">
        <f t="shared" si="12"/>
        <v>1.0874439461883378E-2</v>
      </c>
      <c r="E65" s="3">
        <f t="shared" si="2"/>
        <v>-3.6041939711664028E-3</v>
      </c>
      <c r="F65">
        <f t="shared" si="3"/>
        <v>9.4265761185783996E-3</v>
      </c>
      <c r="G65">
        <f t="shared" si="4"/>
        <v>5.0829860886634649E-3</v>
      </c>
      <c r="H65">
        <f t="shared" si="5"/>
        <v>7.3939605874853145E-4</v>
      </c>
      <c r="I65">
        <f t="shared" si="13"/>
        <v>20843.204068555602</v>
      </c>
      <c r="J65">
        <f t="shared" si="6"/>
        <v>20942.406867433991</v>
      </c>
      <c r="K65">
        <f t="shared" si="11"/>
        <v>17618.684947699971</v>
      </c>
      <c r="L65">
        <f t="shared" si="7"/>
        <v>17661.81734653021</v>
      </c>
      <c r="M65">
        <f t="shared" si="8"/>
        <v>14736.56835798358</v>
      </c>
      <c r="N65">
        <f t="shared" si="9"/>
        <v>14739.577741954241</v>
      </c>
      <c r="O65">
        <f t="shared" si="14"/>
        <v>-4.736933987881331E-3</v>
      </c>
      <c r="P65">
        <f t="shared" si="0"/>
        <v>-2.4421268765251192E-3</v>
      </c>
      <c r="Q65">
        <f t="shared" si="1"/>
        <v>-2.0417029736852221E-4</v>
      </c>
    </row>
    <row r="66" spans="1:17" x14ac:dyDescent="0.2">
      <c r="A66" s="4">
        <v>42125</v>
      </c>
      <c r="B66" s="2">
        <v>91.34</v>
      </c>
      <c r="C66" s="2">
        <v>60.54</v>
      </c>
      <c r="D66" s="3">
        <f t="shared" si="12"/>
        <v>1.2975490739713935E-2</v>
      </c>
      <c r="E66" s="3">
        <f t="shared" si="2"/>
        <v>-4.6037487668529886E-3</v>
      </c>
      <c r="F66">
        <f t="shared" si="3"/>
        <v>1.1217566789057243E-2</v>
      </c>
      <c r="G66">
        <f t="shared" si="4"/>
        <v>5.9437949370871653E-3</v>
      </c>
      <c r="H66">
        <f t="shared" si="5"/>
        <v>6.7002308511708878E-4</v>
      </c>
      <c r="I66">
        <f t="shared" si="13"/>
        <v>21077.014102292575</v>
      </c>
      <c r="J66">
        <f t="shared" si="6"/>
        <v>21077.014102292575</v>
      </c>
      <c r="K66">
        <f t="shared" si="11"/>
        <v>17723.406798090244</v>
      </c>
      <c r="L66">
        <f t="shared" si="7"/>
        <v>17723.406798090244</v>
      </c>
      <c r="M66">
        <f t="shared" si="8"/>
        <v>14746.442198978835</v>
      </c>
      <c r="N66">
        <f t="shared" si="9"/>
        <v>14746.442198978835</v>
      </c>
      <c r="O66">
        <f t="shared" si="14"/>
        <v>0</v>
      </c>
      <c r="P66">
        <f t="shared" si="0"/>
        <v>0</v>
      </c>
      <c r="Q66">
        <f t="shared" si="1"/>
        <v>0</v>
      </c>
    </row>
    <row r="67" spans="1:17" x14ac:dyDescent="0.2">
      <c r="A67" s="4">
        <v>42156</v>
      </c>
      <c r="B67" s="2">
        <v>89.42</v>
      </c>
      <c r="C67" s="2">
        <v>59.86</v>
      </c>
      <c r="D67" s="3">
        <f t="shared" si="12"/>
        <v>-2.1020363477118442E-2</v>
      </c>
      <c r="E67" s="3">
        <f t="shared" si="2"/>
        <v>-1.1232243145028131E-2</v>
      </c>
      <c r="F67">
        <f t="shared" si="3"/>
        <v>-2.004155144390941E-2</v>
      </c>
      <c r="G67">
        <f t="shared" ref="G67:G130" si="15">0.6*D67+0.4*E67</f>
        <v>-1.7105115344282319E-2</v>
      </c>
      <c r="H67">
        <f t="shared" si="5"/>
        <v>-1.4168679244655223E-2</v>
      </c>
      <c r="I67">
        <f t="shared" si="13"/>
        <v>20654.598039877474</v>
      </c>
      <c r="J67">
        <f t="shared" si="6"/>
        <v>21077.014102292575</v>
      </c>
      <c r="K67">
        <f t="shared" si="11"/>
        <v>17420.245880515275</v>
      </c>
      <c r="L67">
        <f t="shared" si="7"/>
        <v>17723.406798090244</v>
      </c>
      <c r="M67">
        <f t="shared" si="8"/>
        <v>14537.504589461656</v>
      </c>
      <c r="N67">
        <f t="shared" si="9"/>
        <v>14746.442198978835</v>
      </c>
      <c r="O67">
        <f t="shared" ref="O67:O130" si="16">(I67/J67)-1</f>
        <v>-2.00415514439094E-2</v>
      </c>
      <c r="P67">
        <f t="shared" ref="P67:P130" si="17">(K67/L67)-1</f>
        <v>-1.7105115344282162E-2</v>
      </c>
      <c r="Q67">
        <f t="shared" ref="Q67:Q130" si="18">(M67/N67)-1</f>
        <v>-1.4168679244655258E-2</v>
      </c>
    </row>
    <row r="68" spans="1:17" x14ac:dyDescent="0.2">
      <c r="A68" s="4">
        <v>42186</v>
      </c>
      <c r="B68" s="2">
        <v>91.34</v>
      </c>
      <c r="C68" s="2">
        <v>60.39</v>
      </c>
      <c r="D68" s="3">
        <f t="shared" ref="D68:D131" si="19">B68/B67-1</f>
        <v>2.147170655334385E-2</v>
      </c>
      <c r="E68" s="3">
        <f t="shared" ref="E68:E131" si="20">C68/C67-1</f>
        <v>8.8539926495154742E-3</v>
      </c>
      <c r="F68">
        <f t="shared" ref="F68:F131" si="21">0.9*D68+0.1*E68</f>
        <v>2.0209935162961015E-2</v>
      </c>
      <c r="G68">
        <f t="shared" si="15"/>
        <v>1.6424620991812501E-2</v>
      </c>
      <c r="H68">
        <f t="shared" ref="H68:H131" si="22">0.3*D68+0.7*E68</f>
        <v>1.2639306820663986E-2</v>
      </c>
      <c r="I68">
        <f t="shared" si="13"/>
        <v>21072.026127080419</v>
      </c>
      <c r="J68">
        <f t="shared" ref="J68:J131" si="23">MAX(J67,I68)</f>
        <v>21077.014102292575</v>
      </c>
      <c r="K68">
        <f t="shared" ref="K68:K131" si="24">K67*(1+G68)</f>
        <v>17706.366816686921</v>
      </c>
      <c r="L68">
        <f t="shared" ref="L68:L131" si="25">MAX(L67,K68)</f>
        <v>17723.406798090244</v>
      </c>
      <c r="M68">
        <f t="shared" ref="M68:M131" si="26">M67*(1+H68)</f>
        <v>14721.248570374673</v>
      </c>
      <c r="N68">
        <f t="shared" ref="N68:N131" si="27">MAX(N67,M68)</f>
        <v>14746.442198978835</v>
      </c>
      <c r="O68">
        <f t="shared" si="16"/>
        <v>-2.3665473619494115E-4</v>
      </c>
      <c r="P68">
        <f t="shared" si="17"/>
        <v>-9.6143938902082393E-4</v>
      </c>
      <c r="Q68">
        <f t="shared" si="18"/>
        <v>-1.7084547082079071E-3</v>
      </c>
    </row>
    <row r="69" spans="1:17" x14ac:dyDescent="0.2">
      <c r="A69" s="4">
        <v>42217</v>
      </c>
      <c r="B69" s="2">
        <v>85.77</v>
      </c>
      <c r="C69" s="2">
        <v>60.23</v>
      </c>
      <c r="D69" s="3">
        <f t="shared" si="19"/>
        <v>-6.0980950295598912E-2</v>
      </c>
      <c r="E69" s="3">
        <f t="shared" si="20"/>
        <v>-2.6494452723961892E-3</v>
      </c>
      <c r="F69">
        <f t="shared" si="21"/>
        <v>-5.5147799793278642E-2</v>
      </c>
      <c r="G69">
        <f t="shared" si="15"/>
        <v>-3.7648348286317822E-2</v>
      </c>
      <c r="H69">
        <f t="shared" si="22"/>
        <v>-2.0148896779357005E-2</v>
      </c>
      <c r="I69">
        <f t="shared" si="13"/>
        <v>19909.950248985449</v>
      </c>
      <c r="J69">
        <f t="shared" si="23"/>
        <v>21077.014102292575</v>
      </c>
      <c r="K69">
        <f t="shared" si="24"/>
        <v>17039.751351886993</v>
      </c>
      <c r="L69">
        <f t="shared" si="25"/>
        <v>17723.406798090244</v>
      </c>
      <c r="M69">
        <f t="shared" si="26"/>
        <v>14424.631652466936</v>
      </c>
      <c r="N69">
        <f t="shared" si="27"/>
        <v>14746.442198978835</v>
      </c>
      <c r="O69">
        <f t="shared" si="16"/>
        <v>-5.5371403541461861E-2</v>
      </c>
      <c r="P69">
        <f t="shared" si="17"/>
        <v>-3.857359107036451E-2</v>
      </c>
      <c r="Q69">
        <f t="shared" si="18"/>
        <v>-2.1822928009997078E-2</v>
      </c>
    </row>
    <row r="70" spans="1:17" x14ac:dyDescent="0.2">
      <c r="A70" s="4">
        <v>42248</v>
      </c>
      <c r="B70" s="2">
        <v>82.84</v>
      </c>
      <c r="C70" s="2">
        <v>60.72</v>
      </c>
      <c r="D70" s="3">
        <f t="shared" si="19"/>
        <v>-3.4161128599743407E-2</v>
      </c>
      <c r="E70" s="3">
        <f t="shared" si="20"/>
        <v>8.135480657479599E-3</v>
      </c>
      <c r="F70">
        <f t="shared" si="21"/>
        <v>-2.9931467674021106E-2</v>
      </c>
      <c r="G70">
        <f t="shared" si="15"/>
        <v>-1.7242484896854204E-2</v>
      </c>
      <c r="H70">
        <f t="shared" si="22"/>
        <v>-4.5535021196873027E-3</v>
      </c>
      <c r="I70">
        <f t="shared" ref="I70:I133" si="28">I69*(1+F70)</f>
        <v>19314.016216716573</v>
      </c>
      <c r="J70">
        <f t="shared" si="23"/>
        <v>21077.014102292575</v>
      </c>
      <c r="K70">
        <f t="shared" si="24"/>
        <v>16745.943696555929</v>
      </c>
      <c r="L70">
        <f t="shared" si="25"/>
        <v>17723.406798090244</v>
      </c>
      <c r="M70">
        <f t="shared" si="26"/>
        <v>14358.94906166172</v>
      </c>
      <c r="N70">
        <f t="shared" si="27"/>
        <v>14746.442198978835</v>
      </c>
      <c r="O70">
        <f t="shared" si="16"/>
        <v>-8.3645523840316538E-2</v>
      </c>
      <c r="P70">
        <f t="shared" si="17"/>
        <v>-5.5150971405770521E-2</v>
      </c>
      <c r="Q70">
        <f t="shared" si="18"/>
        <v>-2.6277059380733103E-2</v>
      </c>
    </row>
    <row r="71" spans="1:17" x14ac:dyDescent="0.2">
      <c r="A71" s="4">
        <v>42278</v>
      </c>
      <c r="B71" s="2">
        <v>89.85</v>
      </c>
      <c r="C71" s="2">
        <v>60.74</v>
      </c>
      <c r="D71" s="3">
        <f t="shared" si="19"/>
        <v>8.4620956059874297E-2</v>
      </c>
      <c r="E71" s="3">
        <f t="shared" si="20"/>
        <v>3.2938076416333395E-4</v>
      </c>
      <c r="F71">
        <f t="shared" si="21"/>
        <v>7.6191798530303195E-2</v>
      </c>
      <c r="G71">
        <f t="shared" si="15"/>
        <v>5.090432594158991E-2</v>
      </c>
      <c r="H71">
        <f t="shared" si="22"/>
        <v>2.5616853352876622E-2</v>
      </c>
      <c r="I71">
        <f t="shared" si="28"/>
        <v>20785.585849111649</v>
      </c>
      <c r="J71">
        <f t="shared" si="23"/>
        <v>21077.014102292575</v>
      </c>
      <c r="K71">
        <f t="shared" si="24"/>
        <v>17598.384672684926</v>
      </c>
      <c r="L71">
        <f t="shared" si="25"/>
        <v>17723.406798090244</v>
      </c>
      <c r="M71">
        <f t="shared" si="26"/>
        <v>14726.780154075735</v>
      </c>
      <c r="N71">
        <f t="shared" si="27"/>
        <v>14746.442198978835</v>
      </c>
      <c r="O71">
        <f t="shared" si="16"/>
        <v>-1.3826828210416475E-2</v>
      </c>
      <c r="P71">
        <f t="shared" si="17"/>
        <v>-7.0540684886152283E-3</v>
      </c>
      <c r="Q71">
        <f t="shared" si="18"/>
        <v>-1.3333416045574475E-3</v>
      </c>
    </row>
    <row r="72" spans="1:17" x14ac:dyDescent="0.2">
      <c r="A72" s="4">
        <v>42309</v>
      </c>
      <c r="B72" s="2">
        <v>90.39</v>
      </c>
      <c r="C72" s="2">
        <v>60.5</v>
      </c>
      <c r="D72" s="3">
        <f t="shared" si="19"/>
        <v>6.0100166944909716E-3</v>
      </c>
      <c r="E72" s="3">
        <f t="shared" si="20"/>
        <v>-3.9512676983866069E-3</v>
      </c>
      <c r="F72">
        <f t="shared" si="21"/>
        <v>5.0138882552032138E-3</v>
      </c>
      <c r="G72">
        <f t="shared" si="15"/>
        <v>2.0255029373399402E-3</v>
      </c>
      <c r="H72">
        <f t="shared" si="22"/>
        <v>-9.628823805233333E-4</v>
      </c>
      <c r="I72">
        <f t="shared" si="28"/>
        <v>20889.802453878026</v>
      </c>
      <c r="J72">
        <f t="shared" si="23"/>
        <v>21077.014102292575</v>
      </c>
      <c r="K72">
        <f t="shared" si="24"/>
        <v>17634.030252531888</v>
      </c>
      <c r="L72">
        <f t="shared" si="25"/>
        <v>17723.406798090244</v>
      </c>
      <c r="M72">
        <f t="shared" si="26"/>
        <v>14712.599996943536</v>
      </c>
      <c r="N72">
        <f t="shared" si="27"/>
        <v>14746.442198978835</v>
      </c>
      <c r="O72">
        <f t="shared" si="16"/>
        <v>-8.8822661267843328E-3</v>
      </c>
      <c r="P72">
        <f t="shared" si="17"/>
        <v>-5.0428535877191649E-3</v>
      </c>
      <c r="Q72">
        <f t="shared" si="18"/>
        <v>-2.2949401339424913E-3</v>
      </c>
    </row>
    <row r="73" spans="1:17" x14ac:dyDescent="0.2">
      <c r="A73" s="4">
        <v>42339</v>
      </c>
      <c r="B73" s="2">
        <v>87.97</v>
      </c>
      <c r="C73" s="2">
        <v>60.22</v>
      </c>
      <c r="D73" s="3">
        <f t="shared" si="19"/>
        <v>-2.6772873105432082E-2</v>
      </c>
      <c r="E73" s="3">
        <f t="shared" si="20"/>
        <v>-4.6280991735537791E-3</v>
      </c>
      <c r="F73">
        <f t="shared" si="21"/>
        <v>-2.4558395712244253E-2</v>
      </c>
      <c r="G73">
        <f t="shared" si="15"/>
        <v>-1.791496353268076E-2</v>
      </c>
      <c r="H73">
        <f t="shared" si="22"/>
        <v>-1.1271531353117269E-2</v>
      </c>
      <c r="I73">
        <f t="shared" si="28"/>
        <v>20376.782418865077</v>
      </c>
      <c r="J73">
        <f t="shared" si="23"/>
        <v>21077.014102292575</v>
      </c>
      <c r="K73">
        <f t="shared" si="24"/>
        <v>17318.11724362359</v>
      </c>
      <c r="L73">
        <f t="shared" si="25"/>
        <v>17723.406798090244</v>
      </c>
      <c r="M73">
        <f t="shared" si="26"/>
        <v>14546.766464792114</v>
      </c>
      <c r="N73">
        <f t="shared" si="27"/>
        <v>14746.442198978835</v>
      </c>
      <c r="O73">
        <f t="shared" si="16"/>
        <v>-3.3222527632665533E-2</v>
      </c>
      <c r="P73">
        <f t="shared" si="17"/>
        <v>-2.2867474582275227E-2</v>
      </c>
      <c r="Q73">
        <f t="shared" si="18"/>
        <v>-1.3540603997386436E-2</v>
      </c>
    </row>
    <row r="74" spans="1:17" x14ac:dyDescent="0.2">
      <c r="A74" s="4">
        <v>42370</v>
      </c>
      <c r="B74" s="2">
        <v>83.41</v>
      </c>
      <c r="C74" s="2">
        <v>61.24</v>
      </c>
      <c r="D74" s="3">
        <f t="shared" si="19"/>
        <v>-5.1835853131749432E-2</v>
      </c>
      <c r="E74" s="3">
        <f t="shared" si="20"/>
        <v>1.693789438724691E-2</v>
      </c>
      <c r="F74">
        <f t="shared" si="21"/>
        <v>-4.4958478379849801E-2</v>
      </c>
      <c r="G74">
        <f t="shared" si="15"/>
        <v>-2.4326354124150892E-2</v>
      </c>
      <c r="H74">
        <f t="shared" si="22"/>
        <v>-3.6942298684519929E-3</v>
      </c>
      <c r="I74">
        <f t="shared" si="28"/>
        <v>19460.673287035628</v>
      </c>
      <c r="J74">
        <f t="shared" si="23"/>
        <v>21077.014102292575</v>
      </c>
      <c r="K74">
        <f t="shared" si="24"/>
        <v>16896.83059079164</v>
      </c>
      <c r="L74">
        <f t="shared" si="25"/>
        <v>17723.406798090244</v>
      </c>
      <c r="M74">
        <f t="shared" si="26"/>
        <v>14493.027365628483</v>
      </c>
      <c r="N74">
        <f t="shared" si="27"/>
        <v>14746.442198978835</v>
      </c>
      <c r="O74">
        <f t="shared" si="16"/>
        <v>-7.6687371722218178E-2</v>
      </c>
      <c r="P74">
        <f t="shared" si="17"/>
        <v>-4.6637546421812615E-2</v>
      </c>
      <c r="Q74">
        <f t="shared" si="18"/>
        <v>-1.7184811762114505E-2</v>
      </c>
    </row>
    <row r="75" spans="1:17" x14ac:dyDescent="0.2">
      <c r="A75" s="4">
        <v>42401</v>
      </c>
      <c r="B75" s="2">
        <v>83.4</v>
      </c>
      <c r="C75" s="2">
        <v>61.63</v>
      </c>
      <c r="D75" s="3">
        <f t="shared" si="19"/>
        <v>-1.1988970147458478E-4</v>
      </c>
      <c r="E75" s="3">
        <f t="shared" si="20"/>
        <v>6.368386675375648E-3</v>
      </c>
      <c r="F75">
        <f t="shared" si="21"/>
        <v>5.2893793621043854E-4</v>
      </c>
      <c r="G75">
        <f t="shared" si="15"/>
        <v>2.4754208492655085E-3</v>
      </c>
      <c r="H75">
        <f t="shared" si="22"/>
        <v>4.4219037623205778E-3</v>
      </c>
      <c r="I75">
        <f t="shared" si="28"/>
        <v>19470.966775401335</v>
      </c>
      <c r="J75">
        <f t="shared" si="23"/>
        <v>21077.014102292575</v>
      </c>
      <c r="K75">
        <f t="shared" si="24"/>
        <v>16938.657357522592</v>
      </c>
      <c r="L75">
        <f t="shared" si="25"/>
        <v>17723.406798090244</v>
      </c>
      <c r="M75">
        <f t="shared" si="26"/>
        <v>14557.11413786397</v>
      </c>
      <c r="N75">
        <f t="shared" si="27"/>
        <v>14746.442198978835</v>
      </c>
      <c r="O75">
        <f t="shared" si="16"/>
        <v>-7.6198996646140049E-2</v>
      </c>
      <c r="P75">
        <f t="shared" si="17"/>
        <v>-4.4277573127318282E-2</v>
      </c>
      <c r="Q75">
        <f t="shared" si="18"/>
        <v>-1.2838897583579589E-2</v>
      </c>
    </row>
    <row r="76" spans="1:17" x14ac:dyDescent="0.2">
      <c r="A76" s="4">
        <v>42430</v>
      </c>
      <c r="B76" s="2">
        <v>88.91</v>
      </c>
      <c r="C76" s="2">
        <v>62.19</v>
      </c>
      <c r="D76" s="3">
        <f t="shared" si="19"/>
        <v>6.606714628297361E-2</v>
      </c>
      <c r="E76" s="3">
        <f t="shared" si="20"/>
        <v>9.086483855265115E-3</v>
      </c>
      <c r="F76">
        <f t="shared" si="21"/>
        <v>6.0369080040202763E-2</v>
      </c>
      <c r="G76">
        <f t="shared" si="15"/>
        <v>4.3274881311890209E-2</v>
      </c>
      <c r="H76">
        <f t="shared" si="22"/>
        <v>2.6180682583577662E-2</v>
      </c>
      <c r="I76">
        <f t="shared" si="28"/>
        <v>20646.41112712567</v>
      </c>
      <c r="J76">
        <f t="shared" si="23"/>
        <v>21077.014102292575</v>
      </c>
      <c r="K76">
        <f t="shared" si="24"/>
        <v>17671.675744252156</v>
      </c>
      <c r="L76">
        <f t="shared" si="25"/>
        <v>17723.406798090244</v>
      </c>
      <c r="M76">
        <f t="shared" si="26"/>
        <v>14938.229322440298</v>
      </c>
      <c r="N76">
        <f t="shared" si="27"/>
        <v>14938.229322440298</v>
      </c>
      <c r="O76">
        <f t="shared" si="16"/>
        <v>-2.0429979933451192E-2</v>
      </c>
      <c r="P76">
        <f t="shared" si="17"/>
        <v>-2.9187985372914893E-3</v>
      </c>
      <c r="Q76">
        <f t="shared" si="18"/>
        <v>0</v>
      </c>
    </row>
    <row r="77" spans="1:17" x14ac:dyDescent="0.2">
      <c r="A77" s="4">
        <v>42461</v>
      </c>
      <c r="B77" s="2">
        <v>89.92</v>
      </c>
      <c r="C77" s="2">
        <v>62.43</v>
      </c>
      <c r="D77" s="3">
        <f t="shared" si="19"/>
        <v>1.1359802047013812E-2</v>
      </c>
      <c r="E77" s="3">
        <f t="shared" si="20"/>
        <v>3.8591413410515862E-3</v>
      </c>
      <c r="F77">
        <f t="shared" si="21"/>
        <v>1.0609735976417589E-2</v>
      </c>
      <c r="G77">
        <f t="shared" si="15"/>
        <v>8.3595377646289212E-3</v>
      </c>
      <c r="H77">
        <f t="shared" si="22"/>
        <v>6.1093395528402537E-3</v>
      </c>
      <c r="I77">
        <f t="shared" si="28"/>
        <v>20865.464098045046</v>
      </c>
      <c r="J77">
        <f t="shared" si="23"/>
        <v>21077.014102292575</v>
      </c>
      <c r="K77">
        <f t="shared" si="24"/>
        <v>17819.402785000508</v>
      </c>
      <c r="L77">
        <f t="shared" si="25"/>
        <v>17819.402785000508</v>
      </c>
      <c r="M77">
        <f t="shared" si="26"/>
        <v>15029.492037689281</v>
      </c>
      <c r="N77">
        <f t="shared" si="27"/>
        <v>15029.492037689281</v>
      </c>
      <c r="O77">
        <f t="shared" si="16"/>
        <v>-1.0037000650130912E-2</v>
      </c>
      <c r="P77">
        <f t="shared" si="17"/>
        <v>0</v>
      </c>
      <c r="Q77">
        <f t="shared" si="18"/>
        <v>0</v>
      </c>
    </row>
    <row r="78" spans="1:17" x14ac:dyDescent="0.2">
      <c r="A78" s="4">
        <v>42491</v>
      </c>
      <c r="B78" s="2">
        <v>91.48</v>
      </c>
      <c r="C78" s="2">
        <v>62.43</v>
      </c>
      <c r="D78" s="3">
        <f t="shared" si="19"/>
        <v>1.7348754448398562E-2</v>
      </c>
      <c r="E78" s="3">
        <f t="shared" si="20"/>
        <v>0</v>
      </c>
      <c r="F78">
        <f t="shared" si="21"/>
        <v>1.5613879003558706E-2</v>
      </c>
      <c r="G78">
        <f t="shared" si="15"/>
        <v>1.0409252669039137E-2</v>
      </c>
      <c r="H78">
        <f t="shared" si="22"/>
        <v>5.2046263345195687E-3</v>
      </c>
      <c r="I78">
        <f t="shared" si="28"/>
        <v>21191.25492982502</v>
      </c>
      <c r="J78">
        <f t="shared" si="23"/>
        <v>21191.25492982502</v>
      </c>
      <c r="K78">
        <f t="shared" si="24"/>
        <v>18004.889451000956</v>
      </c>
      <c r="L78">
        <f t="shared" si="25"/>
        <v>18004.889451000956</v>
      </c>
      <c r="M78">
        <f t="shared" si="26"/>
        <v>15107.714927743091</v>
      </c>
      <c r="N78">
        <f t="shared" si="27"/>
        <v>15107.714927743091</v>
      </c>
      <c r="O78">
        <f t="shared" si="16"/>
        <v>0</v>
      </c>
      <c r="P78">
        <f t="shared" si="17"/>
        <v>0</v>
      </c>
      <c r="Q78">
        <f t="shared" si="18"/>
        <v>0</v>
      </c>
    </row>
    <row r="79" spans="1:17" x14ac:dyDescent="0.2">
      <c r="A79" s="4">
        <v>42522</v>
      </c>
      <c r="B79" s="2">
        <v>91.32</v>
      </c>
      <c r="C79" s="2">
        <v>63.69</v>
      </c>
      <c r="D79" s="3">
        <f t="shared" si="19"/>
        <v>-1.7490161783997316E-3</v>
      </c>
      <c r="E79" s="3">
        <f t="shared" si="20"/>
        <v>2.0182604517059E-2</v>
      </c>
      <c r="F79">
        <f t="shared" si="21"/>
        <v>4.4414589114614164E-4</v>
      </c>
      <c r="G79">
        <f t="shared" si="15"/>
        <v>7.0236320997837613E-3</v>
      </c>
      <c r="H79">
        <f t="shared" si="22"/>
        <v>1.360311830842138E-2</v>
      </c>
      <c r="I79">
        <f t="shared" si="28"/>
        <v>21200.666938630333</v>
      </c>
      <c r="J79">
        <f t="shared" si="23"/>
        <v>21200.666938630333</v>
      </c>
      <c r="K79">
        <f t="shared" si="24"/>
        <v>18131.349170502064</v>
      </c>
      <c r="L79">
        <f t="shared" si="25"/>
        <v>18131.349170502064</v>
      </c>
      <c r="M79">
        <f t="shared" si="26"/>
        <v>15313.226961275082</v>
      </c>
      <c r="N79">
        <f t="shared" si="27"/>
        <v>15313.226961275082</v>
      </c>
      <c r="O79">
        <f t="shared" si="16"/>
        <v>0</v>
      </c>
      <c r="P79">
        <f t="shared" si="17"/>
        <v>0</v>
      </c>
      <c r="Q79">
        <f t="shared" si="18"/>
        <v>0</v>
      </c>
    </row>
    <row r="80" spans="1:17" x14ac:dyDescent="0.2">
      <c r="A80" s="4">
        <v>42552</v>
      </c>
      <c r="B80" s="2">
        <v>95.37</v>
      </c>
      <c r="C80" s="2">
        <v>64.08</v>
      </c>
      <c r="D80" s="3">
        <f t="shared" si="19"/>
        <v>4.4349540078843841E-2</v>
      </c>
      <c r="E80" s="3">
        <f t="shared" si="20"/>
        <v>6.1234102684879499E-3</v>
      </c>
      <c r="F80">
        <f t="shared" si="21"/>
        <v>4.0526927097808252E-2</v>
      </c>
      <c r="G80">
        <f t="shared" si="15"/>
        <v>2.9059088154701485E-2</v>
      </c>
      <c r="H80">
        <f t="shared" si="22"/>
        <v>1.7591249211594717E-2</v>
      </c>
      <c r="I80">
        <f t="shared" si="28"/>
        <v>22059.864822077117</v>
      </c>
      <c r="J80">
        <f t="shared" si="23"/>
        <v>22059.864822077117</v>
      </c>
      <c r="K80">
        <f t="shared" si="24"/>
        <v>18658.229644411356</v>
      </c>
      <c r="L80">
        <f t="shared" si="25"/>
        <v>18658.229644411356</v>
      </c>
      <c r="M80">
        <f t="shared" si="26"/>
        <v>15582.605752984586</v>
      </c>
      <c r="N80">
        <f t="shared" si="27"/>
        <v>15582.605752984586</v>
      </c>
      <c r="O80">
        <f t="shared" si="16"/>
        <v>0</v>
      </c>
      <c r="P80">
        <f t="shared" si="17"/>
        <v>0</v>
      </c>
      <c r="Q80">
        <f t="shared" si="18"/>
        <v>0</v>
      </c>
    </row>
    <row r="81" spans="1:17" x14ac:dyDescent="0.2">
      <c r="A81" s="4">
        <v>42583</v>
      </c>
      <c r="B81" s="2">
        <v>95.57</v>
      </c>
      <c r="C81" s="2">
        <v>63.88</v>
      </c>
      <c r="D81" s="3">
        <f t="shared" si="19"/>
        <v>2.0970955227008758E-3</v>
      </c>
      <c r="E81" s="3">
        <f t="shared" si="20"/>
        <v>-3.1210986267165008E-3</v>
      </c>
      <c r="F81">
        <f t="shared" si="21"/>
        <v>1.5752761077591382E-3</v>
      </c>
      <c r="G81">
        <f t="shared" si="15"/>
        <v>9.8178629339249097E-6</v>
      </c>
      <c r="H81">
        <f t="shared" si="22"/>
        <v>-1.5556403818912875E-3</v>
      </c>
      <c r="I81">
        <f t="shared" si="28"/>
        <v>22094.615200071734</v>
      </c>
      <c r="J81">
        <f t="shared" si="23"/>
        <v>22094.615200071734</v>
      </c>
      <c r="K81">
        <f t="shared" si="24"/>
        <v>18658.412828352597</v>
      </c>
      <c r="L81">
        <f t="shared" si="25"/>
        <v>18658.412828352597</v>
      </c>
      <c r="M81">
        <f t="shared" si="26"/>
        <v>15558.364822220152</v>
      </c>
      <c r="N81">
        <f t="shared" si="27"/>
        <v>15582.605752984586</v>
      </c>
      <c r="O81">
        <f t="shared" si="16"/>
        <v>0</v>
      </c>
      <c r="P81">
        <f t="shared" si="17"/>
        <v>0</v>
      </c>
      <c r="Q81">
        <f t="shared" si="18"/>
        <v>-1.5556403818912656E-3</v>
      </c>
    </row>
    <row r="82" spans="1:17" x14ac:dyDescent="0.2">
      <c r="A82" s="4">
        <v>42614</v>
      </c>
      <c r="B82" s="2">
        <v>95.3</v>
      </c>
      <c r="C82" s="2">
        <v>63.95</v>
      </c>
      <c r="D82" s="3">
        <f t="shared" si="19"/>
        <v>-2.8251543371350385E-3</v>
      </c>
      <c r="E82" s="3">
        <f t="shared" si="20"/>
        <v>1.095804633688191E-3</v>
      </c>
      <c r="F82">
        <f t="shared" si="21"/>
        <v>-2.4330584400527157E-3</v>
      </c>
      <c r="G82">
        <f t="shared" si="15"/>
        <v>-1.2567707488057465E-3</v>
      </c>
      <c r="H82">
        <f t="shared" si="22"/>
        <v>-8.0483057558777848E-5</v>
      </c>
      <c r="I82">
        <f t="shared" si="28"/>
        <v>22040.857710079483</v>
      </c>
      <c r="J82">
        <f t="shared" si="23"/>
        <v>22094.615200071734</v>
      </c>
      <c r="K82">
        <f t="shared" si="24"/>
        <v>18634.963480890783</v>
      </c>
      <c r="L82">
        <f t="shared" si="25"/>
        <v>18658.412828352597</v>
      </c>
      <c r="M82">
        <f t="shared" si="26"/>
        <v>15557.112637448645</v>
      </c>
      <c r="N82">
        <f t="shared" si="27"/>
        <v>15582.605752984586</v>
      </c>
      <c r="O82">
        <f t="shared" si="16"/>
        <v>-2.4330584400527044E-3</v>
      </c>
      <c r="P82">
        <f t="shared" si="17"/>
        <v>-1.2567707488057023E-3</v>
      </c>
      <c r="Q82">
        <f t="shared" si="18"/>
        <v>-1.6359982367556425E-3</v>
      </c>
    </row>
    <row r="83" spans="1:17" x14ac:dyDescent="0.2">
      <c r="A83" s="4">
        <v>42644</v>
      </c>
      <c r="B83" s="2">
        <v>93.66</v>
      </c>
      <c r="C83" s="2">
        <v>63.35</v>
      </c>
      <c r="D83" s="3">
        <f t="shared" si="19"/>
        <v>-1.7208814270724071E-2</v>
      </c>
      <c r="E83" s="3">
        <f t="shared" si="20"/>
        <v>-9.3823299452697739E-3</v>
      </c>
      <c r="F83">
        <f t="shared" si="21"/>
        <v>-1.6426165838178641E-2</v>
      </c>
      <c r="G83">
        <f t="shared" si="15"/>
        <v>-1.4078220540542353E-2</v>
      </c>
      <c r="H83">
        <f t="shared" si="22"/>
        <v>-1.1730275242906062E-2</v>
      </c>
      <c r="I83">
        <f t="shared" si="28"/>
        <v>21678.810926118018</v>
      </c>
      <c r="J83">
        <f t="shared" si="23"/>
        <v>22094.615200071734</v>
      </c>
      <c r="K83">
        <f t="shared" si="24"/>
        <v>18372.616355241851</v>
      </c>
      <c r="L83">
        <f t="shared" si="25"/>
        <v>18658.412828352597</v>
      </c>
      <c r="M83">
        <f t="shared" si="26"/>
        <v>15374.62342422648</v>
      </c>
      <c r="N83">
        <f t="shared" si="27"/>
        <v>15582.605752984586</v>
      </c>
      <c r="O83">
        <f t="shared" si="16"/>
        <v>-1.8819258456801102E-2</v>
      </c>
      <c r="P83">
        <f t="shared" si="17"/>
        <v>-1.5317298193577411E-2</v>
      </c>
      <c r="Q83">
        <f t="shared" si="18"/>
        <v>-1.3347082770047591E-2</v>
      </c>
    </row>
    <row r="84" spans="1:17" x14ac:dyDescent="0.2">
      <c r="A84" s="4">
        <v>42675</v>
      </c>
      <c r="B84" s="2">
        <v>97.87</v>
      </c>
      <c r="C84" s="2">
        <v>61.72</v>
      </c>
      <c r="D84" s="3">
        <f t="shared" si="19"/>
        <v>4.4949818492419524E-2</v>
      </c>
      <c r="E84" s="3">
        <f t="shared" si="20"/>
        <v>-2.5730071033938429E-2</v>
      </c>
      <c r="F84">
        <f t="shared" si="21"/>
        <v>3.788182953978373E-2</v>
      </c>
      <c r="G84">
        <f t="shared" si="15"/>
        <v>1.6677862681876342E-2</v>
      </c>
      <c r="H84">
        <f t="shared" si="22"/>
        <v>-4.5261041760310417E-3</v>
      </c>
      <c r="I84">
        <f t="shared" si="28"/>
        <v>22500.043946246424</v>
      </c>
      <c r="J84">
        <f t="shared" si="23"/>
        <v>22500.043946246424</v>
      </c>
      <c r="K84">
        <f t="shared" si="24"/>
        <v>18679.032327921374</v>
      </c>
      <c r="L84">
        <f t="shared" si="25"/>
        <v>18679.032327921374</v>
      </c>
      <c r="M84">
        <f t="shared" si="26"/>
        <v>15305.036276941184</v>
      </c>
      <c r="N84">
        <f t="shared" si="27"/>
        <v>15582.605752984586</v>
      </c>
      <c r="O84">
        <f t="shared" si="16"/>
        <v>0</v>
      </c>
      <c r="P84">
        <f t="shared" si="17"/>
        <v>0</v>
      </c>
      <c r="Q84">
        <f t="shared" si="18"/>
        <v>-1.7812776659015372E-2</v>
      </c>
    </row>
    <row r="85" spans="1:17" x14ac:dyDescent="0.2">
      <c r="A85" s="4">
        <v>42705</v>
      </c>
      <c r="B85" s="2">
        <v>99.19</v>
      </c>
      <c r="C85" s="2">
        <v>61.76</v>
      </c>
      <c r="D85" s="3">
        <f t="shared" si="19"/>
        <v>1.3487279043629341E-2</v>
      </c>
      <c r="E85" s="3">
        <f t="shared" si="20"/>
        <v>6.480881399870686E-4</v>
      </c>
      <c r="F85">
        <f t="shared" si="21"/>
        <v>1.2203359953265113E-2</v>
      </c>
      <c r="G85">
        <f t="shared" si="15"/>
        <v>8.3516026821724328E-3</v>
      </c>
      <c r="H85">
        <f t="shared" si="22"/>
        <v>4.4998454110797507E-3</v>
      </c>
      <c r="I85">
        <f t="shared" si="28"/>
        <v>22774.620081486755</v>
      </c>
      <c r="J85">
        <f t="shared" si="23"/>
        <v>22774.620081486755</v>
      </c>
      <c r="K85">
        <f t="shared" si="24"/>
        <v>18835.032184411626</v>
      </c>
      <c r="L85">
        <f t="shared" si="25"/>
        <v>18835.032184411626</v>
      </c>
      <c r="M85">
        <f t="shared" si="26"/>
        <v>15373.906574198389</v>
      </c>
      <c r="N85">
        <f t="shared" si="27"/>
        <v>15582.605752984586</v>
      </c>
      <c r="O85">
        <f t="shared" si="16"/>
        <v>0</v>
      </c>
      <c r="P85">
        <f t="shared" si="17"/>
        <v>0</v>
      </c>
      <c r="Q85">
        <f t="shared" si="18"/>
        <v>-1.3393085989243159E-2</v>
      </c>
    </row>
    <row r="86" spans="1:17" x14ac:dyDescent="0.2">
      <c r="A86" s="4">
        <v>42736</v>
      </c>
      <c r="B86" s="2">
        <v>101.66</v>
      </c>
      <c r="C86" s="2">
        <v>62.16</v>
      </c>
      <c r="D86" s="3">
        <f t="shared" si="19"/>
        <v>2.4901703800786379E-2</v>
      </c>
      <c r="E86" s="3">
        <f t="shared" si="20"/>
        <v>6.4766839378238572E-3</v>
      </c>
      <c r="F86">
        <f t="shared" si="21"/>
        <v>2.3059201814490126E-2</v>
      </c>
      <c r="G86">
        <f t="shared" si="15"/>
        <v>1.7531695855601367E-2</v>
      </c>
      <c r="H86">
        <f t="shared" si="22"/>
        <v>1.2004189896712612E-2</v>
      </c>
      <c r="I86">
        <f t="shared" si="28"/>
        <v>23299.784642194099</v>
      </c>
      <c r="J86">
        <f t="shared" si="23"/>
        <v>23299.784642194099</v>
      </c>
      <c r="K86">
        <f t="shared" si="24"/>
        <v>19165.242240099193</v>
      </c>
      <c r="L86">
        <f t="shared" si="25"/>
        <v>19165.242240099193</v>
      </c>
      <c r="M86">
        <f t="shared" si="26"/>
        <v>15558.457868169386</v>
      </c>
      <c r="N86">
        <f t="shared" si="27"/>
        <v>15582.605752984586</v>
      </c>
      <c r="O86">
        <f t="shared" si="16"/>
        <v>0</v>
      </c>
      <c r="P86">
        <f t="shared" si="17"/>
        <v>0</v>
      </c>
      <c r="Q86">
        <f t="shared" si="18"/>
        <v>-1.5496692400482903E-3</v>
      </c>
    </row>
    <row r="87" spans="1:17" x14ac:dyDescent="0.2">
      <c r="A87" s="4">
        <v>42767</v>
      </c>
      <c r="B87" s="2">
        <v>105.42</v>
      </c>
      <c r="C87" s="2">
        <v>62.41</v>
      </c>
      <c r="D87" s="3">
        <f t="shared" si="19"/>
        <v>3.6986031870942515E-2</v>
      </c>
      <c r="E87" s="3">
        <f t="shared" si="20"/>
        <v>4.0218790218791156E-3</v>
      </c>
      <c r="F87">
        <f t="shared" si="21"/>
        <v>3.3689616586036177E-2</v>
      </c>
      <c r="G87">
        <f t="shared" si="15"/>
        <v>2.3800370731317154E-2</v>
      </c>
      <c r="H87">
        <f t="shared" si="22"/>
        <v>1.3911124876598135E-2</v>
      </c>
      <c r="I87">
        <f t="shared" si="28"/>
        <v>24084.745453326832</v>
      </c>
      <c r="J87">
        <f t="shared" si="23"/>
        <v>24084.745453326832</v>
      </c>
      <c r="K87">
        <f t="shared" si="24"/>
        <v>19621.382110569055</v>
      </c>
      <c r="L87">
        <f t="shared" si="25"/>
        <v>19621.382110569055</v>
      </c>
      <c r="M87">
        <f t="shared" si="26"/>
        <v>15774.893518460782</v>
      </c>
      <c r="N87">
        <f t="shared" si="27"/>
        <v>15774.893518460782</v>
      </c>
      <c r="O87">
        <f t="shared" si="16"/>
        <v>0</v>
      </c>
      <c r="P87">
        <f t="shared" si="17"/>
        <v>0</v>
      </c>
      <c r="Q87">
        <f t="shared" si="18"/>
        <v>0</v>
      </c>
    </row>
    <row r="88" spans="1:17" x14ac:dyDescent="0.2">
      <c r="A88" s="4">
        <v>42795</v>
      </c>
      <c r="B88" s="2">
        <v>105.01</v>
      </c>
      <c r="C88" s="2">
        <v>62.4</v>
      </c>
      <c r="D88" s="3">
        <f t="shared" si="19"/>
        <v>-3.889205084424141E-3</v>
      </c>
      <c r="E88" s="3">
        <f t="shared" si="20"/>
        <v>-1.6023073225446272E-4</v>
      </c>
      <c r="F88">
        <f t="shared" si="21"/>
        <v>-3.516307649207173E-3</v>
      </c>
      <c r="G88">
        <f t="shared" si="15"/>
        <v>-2.3976153435562699E-3</v>
      </c>
      <c r="H88">
        <f t="shared" si="22"/>
        <v>-1.2789230379053663E-3</v>
      </c>
      <c r="I88">
        <f t="shared" si="28"/>
        <v>24000.056078660091</v>
      </c>
      <c r="J88">
        <f t="shared" si="23"/>
        <v>24084.745453326832</v>
      </c>
      <c r="K88">
        <f t="shared" si="24"/>
        <v>19574.337583758974</v>
      </c>
      <c r="L88">
        <f t="shared" si="25"/>
        <v>19621.382110569055</v>
      </c>
      <c r="M88">
        <f t="shared" si="26"/>
        <v>15754.71864371952</v>
      </c>
      <c r="N88">
        <f t="shared" si="27"/>
        <v>15774.893518460782</v>
      </c>
      <c r="O88">
        <f t="shared" si="16"/>
        <v>-3.5163076492071843E-3</v>
      </c>
      <c r="P88">
        <f t="shared" si="17"/>
        <v>-2.3976153435563141E-3</v>
      </c>
      <c r="Q88">
        <f t="shared" si="18"/>
        <v>-1.2789230379052219E-3</v>
      </c>
    </row>
    <row r="89" spans="1:17" x14ac:dyDescent="0.2">
      <c r="A89" s="4">
        <v>42826</v>
      </c>
      <c r="B89" s="2">
        <v>106.6</v>
      </c>
      <c r="C89" s="2">
        <v>62.88</v>
      </c>
      <c r="D89" s="3">
        <f t="shared" si="19"/>
        <v>1.5141415103323341E-2</v>
      </c>
      <c r="E89" s="3">
        <f t="shared" si="20"/>
        <v>7.692307692307665E-3</v>
      </c>
      <c r="F89">
        <f t="shared" si="21"/>
        <v>1.4396504362221774E-2</v>
      </c>
      <c r="G89">
        <f t="shared" si="15"/>
        <v>1.216177213891707E-2</v>
      </c>
      <c r="H89">
        <f t="shared" si="22"/>
        <v>9.9270399156123675E-3</v>
      </c>
      <c r="I89">
        <f t="shared" si="28"/>
        <v>24345.572990690089</v>
      </c>
      <c r="J89">
        <f t="shared" si="23"/>
        <v>24345.572990690089</v>
      </c>
      <c r="K89">
        <f t="shared" si="24"/>
        <v>19812.396217222893</v>
      </c>
      <c r="L89">
        <f t="shared" si="25"/>
        <v>19812.396217222893</v>
      </c>
      <c r="M89">
        <f t="shared" si="26"/>
        <v>15911.116364554966</v>
      </c>
      <c r="N89">
        <f t="shared" si="27"/>
        <v>15911.116364554966</v>
      </c>
      <c r="O89">
        <f t="shared" si="16"/>
        <v>0</v>
      </c>
      <c r="P89">
        <f t="shared" si="17"/>
        <v>0</v>
      </c>
      <c r="Q89">
        <f t="shared" si="18"/>
        <v>0</v>
      </c>
    </row>
    <row r="90" spans="1:17" x14ac:dyDescent="0.2">
      <c r="A90" s="4">
        <v>42856</v>
      </c>
      <c r="B90" s="2">
        <v>107.68</v>
      </c>
      <c r="C90" s="2">
        <v>63.33</v>
      </c>
      <c r="D90" s="3">
        <f t="shared" si="19"/>
        <v>1.0131332082551792E-2</v>
      </c>
      <c r="E90" s="3">
        <f t="shared" si="20"/>
        <v>7.1564885496182562E-3</v>
      </c>
      <c r="F90">
        <f t="shared" si="21"/>
        <v>9.8338477292584398E-3</v>
      </c>
      <c r="G90">
        <f t="shared" si="15"/>
        <v>8.9413946693783775E-3</v>
      </c>
      <c r="H90">
        <f t="shared" si="22"/>
        <v>8.0489416094983168E-3</v>
      </c>
      <c r="I90">
        <f t="shared" si="28"/>
        <v>24584.983648362086</v>
      </c>
      <c r="J90">
        <f t="shared" si="23"/>
        <v>24584.983648362086</v>
      </c>
      <c r="K90">
        <f t="shared" si="24"/>
        <v>19989.546671147182</v>
      </c>
      <c r="L90">
        <f t="shared" si="25"/>
        <v>19989.546671147182</v>
      </c>
      <c r="M90">
        <f t="shared" si="26"/>
        <v>16039.184011115203</v>
      </c>
      <c r="N90">
        <f t="shared" si="27"/>
        <v>16039.184011115203</v>
      </c>
      <c r="O90">
        <f t="shared" si="16"/>
        <v>0</v>
      </c>
      <c r="P90">
        <f t="shared" si="17"/>
        <v>0</v>
      </c>
      <c r="Q90">
        <f t="shared" si="18"/>
        <v>0</v>
      </c>
    </row>
    <row r="91" spans="1:17" x14ac:dyDescent="0.2">
      <c r="A91" s="4">
        <v>42887</v>
      </c>
      <c r="B91" s="2">
        <v>108.2</v>
      </c>
      <c r="C91" s="2">
        <v>63.36</v>
      </c>
      <c r="D91" s="3">
        <f t="shared" si="19"/>
        <v>4.8291233283803692E-3</v>
      </c>
      <c r="E91" s="3">
        <f t="shared" si="20"/>
        <v>4.7370914258637598E-4</v>
      </c>
      <c r="F91">
        <f t="shared" si="21"/>
        <v>4.3935819098009695E-3</v>
      </c>
      <c r="G91">
        <f t="shared" si="15"/>
        <v>3.0869576540627718E-3</v>
      </c>
      <c r="H91">
        <f t="shared" si="22"/>
        <v>1.7803333983245739E-3</v>
      </c>
      <c r="I91">
        <f t="shared" si="28"/>
        <v>24692.999787772278</v>
      </c>
      <c r="J91">
        <f t="shared" si="23"/>
        <v>24692.999787772278</v>
      </c>
      <c r="K91">
        <f t="shared" si="24"/>
        <v>20051.253555244926</v>
      </c>
      <c r="L91">
        <f t="shared" si="25"/>
        <v>20051.253555244926</v>
      </c>
      <c r="M91">
        <f t="shared" si="26"/>
        <v>16067.739106092065</v>
      </c>
      <c r="N91">
        <f t="shared" si="27"/>
        <v>16067.739106092065</v>
      </c>
      <c r="O91">
        <f t="shared" si="16"/>
        <v>0</v>
      </c>
      <c r="P91">
        <f t="shared" si="17"/>
        <v>0</v>
      </c>
      <c r="Q91">
        <f t="shared" si="18"/>
        <v>0</v>
      </c>
    </row>
    <row r="92" spans="1:17" x14ac:dyDescent="0.2">
      <c r="A92" s="4">
        <v>42917</v>
      </c>
      <c r="B92" s="2">
        <v>110.74</v>
      </c>
      <c r="C92" s="2">
        <v>63.62</v>
      </c>
      <c r="D92" s="3">
        <f t="shared" si="19"/>
        <v>2.3475046210720718E-2</v>
      </c>
      <c r="E92" s="3">
        <f t="shared" si="20"/>
        <v>4.1035353535352481E-3</v>
      </c>
      <c r="F92">
        <f t="shared" si="21"/>
        <v>2.153789512500217E-2</v>
      </c>
      <c r="G92">
        <f t="shared" si="15"/>
        <v>1.5726441867846528E-2</v>
      </c>
      <c r="H92">
        <f t="shared" si="22"/>
        <v>9.9149886106908881E-3</v>
      </c>
      <c r="I92">
        <f t="shared" si="28"/>
        <v>25224.835027523019</v>
      </c>
      <c r="J92">
        <f t="shared" si="23"/>
        <v>25224.835027523019</v>
      </c>
      <c r="K92">
        <f t="shared" si="24"/>
        <v>20366.588428658935</v>
      </c>
      <c r="L92">
        <f t="shared" si="25"/>
        <v>20366.588428658935</v>
      </c>
      <c r="M92">
        <f t="shared" si="26"/>
        <v>16227.050556328521</v>
      </c>
      <c r="N92">
        <f t="shared" si="27"/>
        <v>16227.050556328521</v>
      </c>
      <c r="O92">
        <f t="shared" si="16"/>
        <v>0</v>
      </c>
      <c r="P92">
        <f t="shared" si="17"/>
        <v>0</v>
      </c>
      <c r="Q92">
        <f t="shared" si="18"/>
        <v>0</v>
      </c>
    </row>
    <row r="93" spans="1:17" x14ac:dyDescent="0.2">
      <c r="A93" s="4">
        <v>42948</v>
      </c>
      <c r="B93" s="2">
        <v>110.91</v>
      </c>
      <c r="C93" s="2">
        <v>64.3</v>
      </c>
      <c r="D93" s="3">
        <f t="shared" si="19"/>
        <v>1.5351273252663944E-3</v>
      </c>
      <c r="E93" s="3">
        <f t="shared" si="20"/>
        <v>1.0688462747563632E-2</v>
      </c>
      <c r="F93">
        <f t="shared" si="21"/>
        <v>2.4504608674961181E-3</v>
      </c>
      <c r="G93">
        <f t="shared" si="15"/>
        <v>5.1964614941852894E-3</v>
      </c>
      <c r="H93">
        <f t="shared" si="22"/>
        <v>7.9424621208744606E-3</v>
      </c>
      <c r="I93">
        <f t="shared" si="28"/>
        <v>25286.647498647013</v>
      </c>
      <c r="J93">
        <f t="shared" si="23"/>
        <v>25286.647498647013</v>
      </c>
      <c r="K93">
        <f t="shared" si="24"/>
        <v>20472.42262119638</v>
      </c>
      <c r="L93">
        <f t="shared" si="25"/>
        <v>20472.42262119638</v>
      </c>
      <c r="M93">
        <f t="shared" si="26"/>
        <v>16355.933290705672</v>
      </c>
      <c r="N93">
        <f t="shared" si="27"/>
        <v>16355.933290705672</v>
      </c>
      <c r="O93">
        <f t="shared" si="16"/>
        <v>0</v>
      </c>
      <c r="P93">
        <f t="shared" si="17"/>
        <v>0</v>
      </c>
      <c r="Q93">
        <f t="shared" si="18"/>
        <v>0</v>
      </c>
    </row>
    <row r="94" spans="1:17" x14ac:dyDescent="0.2">
      <c r="A94" s="4">
        <v>42979</v>
      </c>
      <c r="B94" s="2">
        <v>113.13</v>
      </c>
      <c r="C94" s="2">
        <v>64.13</v>
      </c>
      <c r="D94" s="3">
        <f t="shared" si="19"/>
        <v>2.0016229375169114E-2</v>
      </c>
      <c r="E94" s="3">
        <f t="shared" si="20"/>
        <v>-2.6438569206843621E-3</v>
      </c>
      <c r="F94">
        <f t="shared" si="21"/>
        <v>1.7750220745583769E-2</v>
      </c>
      <c r="G94">
        <f t="shared" si="15"/>
        <v>1.0952194856827724E-2</v>
      </c>
      <c r="H94">
        <f t="shared" si="22"/>
        <v>4.1541689680716807E-3</v>
      </c>
      <c r="I94">
        <f t="shared" si="28"/>
        <v>25735.491073663761</v>
      </c>
      <c r="J94">
        <f t="shared" si="23"/>
        <v>25735.491073663761</v>
      </c>
      <c r="K94">
        <f t="shared" si="24"/>
        <v>20696.640582935048</v>
      </c>
      <c r="L94">
        <f t="shared" si="25"/>
        <v>20696.640582935048</v>
      </c>
      <c r="M94">
        <f t="shared" si="26"/>
        <v>16423.878601225773</v>
      </c>
      <c r="N94">
        <f t="shared" si="27"/>
        <v>16423.878601225773</v>
      </c>
      <c r="O94">
        <f t="shared" si="16"/>
        <v>0</v>
      </c>
      <c r="P94">
        <f t="shared" si="17"/>
        <v>0</v>
      </c>
      <c r="Q94">
        <f t="shared" si="18"/>
        <v>0</v>
      </c>
    </row>
    <row r="95" spans="1:17" x14ac:dyDescent="0.2">
      <c r="A95" s="4">
        <v>43009</v>
      </c>
      <c r="B95" s="2">
        <v>116.08</v>
      </c>
      <c r="C95" s="2">
        <v>64.11</v>
      </c>
      <c r="D95" s="3">
        <f t="shared" si="19"/>
        <v>2.6076195527269475E-2</v>
      </c>
      <c r="E95" s="3">
        <f t="shared" si="20"/>
        <v>-3.1186652112891178E-4</v>
      </c>
      <c r="F95">
        <f t="shared" si="21"/>
        <v>2.3437389322429638E-2</v>
      </c>
      <c r="G95">
        <f t="shared" si="15"/>
        <v>1.5520970707910118E-2</v>
      </c>
      <c r="H95">
        <f t="shared" si="22"/>
        <v>7.6045520933906031E-3</v>
      </c>
      <c r="I95">
        <f t="shared" si="28"/>
        <v>26338.663797361129</v>
      </c>
      <c r="J95">
        <f t="shared" si="23"/>
        <v>26338.663797361129</v>
      </c>
      <c r="K95">
        <f t="shared" si="24"/>
        <v>21017.872535174924</v>
      </c>
      <c r="L95">
        <f t="shared" si="25"/>
        <v>21017.872535174924</v>
      </c>
      <c r="M95">
        <f t="shared" si="26"/>
        <v>16548.774841624316</v>
      </c>
      <c r="N95">
        <f t="shared" si="27"/>
        <v>16548.774841624316</v>
      </c>
      <c r="O95">
        <f t="shared" si="16"/>
        <v>0</v>
      </c>
      <c r="P95">
        <f t="shared" si="17"/>
        <v>0</v>
      </c>
      <c r="Q95">
        <f t="shared" si="18"/>
        <v>0</v>
      </c>
    </row>
    <row r="96" spans="1:17" x14ac:dyDescent="0.2">
      <c r="A96" s="4">
        <v>43040</v>
      </c>
      <c r="B96" s="2">
        <v>119.6</v>
      </c>
      <c r="C96" s="2">
        <v>64.040000000000006</v>
      </c>
      <c r="D96" s="3">
        <f t="shared" si="19"/>
        <v>3.0323914541695363E-2</v>
      </c>
      <c r="E96" s="3">
        <f t="shared" si="20"/>
        <v>-1.0918733426921179E-3</v>
      </c>
      <c r="F96">
        <f t="shared" si="21"/>
        <v>2.7182335753256615E-2</v>
      </c>
      <c r="G96">
        <f t="shared" si="15"/>
        <v>1.775759938794037E-2</v>
      </c>
      <c r="H96">
        <f t="shared" si="22"/>
        <v>8.3328630226241259E-3</v>
      </c>
      <c r="I96">
        <f t="shared" si="28"/>
        <v>27054.610199993142</v>
      </c>
      <c r="J96">
        <f t="shared" si="23"/>
        <v>27054.610199993142</v>
      </c>
      <c r="K96">
        <f t="shared" si="24"/>
        <v>21391.099495641356</v>
      </c>
      <c r="L96">
        <f t="shared" si="25"/>
        <v>21391.099495641356</v>
      </c>
      <c r="M96">
        <f t="shared" si="26"/>
        <v>16686.67351557182</v>
      </c>
      <c r="N96">
        <f t="shared" si="27"/>
        <v>16686.67351557182</v>
      </c>
      <c r="O96">
        <f t="shared" si="16"/>
        <v>0</v>
      </c>
      <c r="P96">
        <f t="shared" si="17"/>
        <v>0</v>
      </c>
      <c r="Q96">
        <f t="shared" si="18"/>
        <v>0</v>
      </c>
    </row>
    <row r="97" spans="1:17" x14ac:dyDescent="0.2">
      <c r="A97" s="4">
        <v>43070</v>
      </c>
      <c r="B97" s="2">
        <v>120.4</v>
      </c>
      <c r="C97" s="2">
        <v>64.23</v>
      </c>
      <c r="D97" s="3">
        <f t="shared" si="19"/>
        <v>6.6889632107023367E-3</v>
      </c>
      <c r="E97" s="3">
        <f t="shared" si="20"/>
        <v>2.9668956901935939E-3</v>
      </c>
      <c r="F97">
        <f t="shared" si="21"/>
        <v>6.3167564586514629E-3</v>
      </c>
      <c r="G97">
        <f t="shared" si="15"/>
        <v>5.200136202498839E-3</v>
      </c>
      <c r="H97">
        <f t="shared" si="22"/>
        <v>4.083515946346216E-3</v>
      </c>
      <c r="I97">
        <f t="shared" si="28"/>
        <v>27225.507583710245</v>
      </c>
      <c r="J97">
        <f t="shared" si="23"/>
        <v>27225.507583710245</v>
      </c>
      <c r="K97">
        <f t="shared" si="24"/>
        <v>21502.336126539896</v>
      </c>
      <c r="L97">
        <f t="shared" si="25"/>
        <v>21502.336126539896</v>
      </c>
      <c r="M97">
        <f t="shared" si="26"/>
        <v>16754.81381296413</v>
      </c>
      <c r="N97">
        <f t="shared" si="27"/>
        <v>16754.81381296413</v>
      </c>
      <c r="O97">
        <f t="shared" si="16"/>
        <v>0</v>
      </c>
      <c r="P97">
        <f t="shared" si="17"/>
        <v>0</v>
      </c>
      <c r="Q97">
        <f t="shared" si="18"/>
        <v>0</v>
      </c>
    </row>
    <row r="98" spans="1:17" x14ac:dyDescent="0.2">
      <c r="A98" s="4">
        <v>43101</v>
      </c>
      <c r="B98" s="2">
        <v>127.32</v>
      </c>
      <c r="C98" s="2">
        <v>63.73</v>
      </c>
      <c r="D98" s="3">
        <f t="shared" si="19"/>
        <v>5.7475083056478304E-2</v>
      </c>
      <c r="E98" s="3">
        <f t="shared" si="20"/>
        <v>-7.7845243655614293E-3</v>
      </c>
      <c r="F98">
        <f t="shared" si="21"/>
        <v>5.0949122314274328E-2</v>
      </c>
      <c r="G98">
        <f t="shared" si="15"/>
        <v>3.1371240087662414E-2</v>
      </c>
      <c r="H98">
        <f t="shared" si="22"/>
        <v>1.1793357861050492E-2</v>
      </c>
      <c r="I98">
        <f t="shared" si="28"/>
        <v>28612.623299660903</v>
      </c>
      <c r="J98">
        <f t="shared" si="23"/>
        <v>28612.623299660903</v>
      </c>
      <c r="K98">
        <f t="shared" si="24"/>
        <v>22176.891075611198</v>
      </c>
      <c r="L98">
        <f t="shared" si="25"/>
        <v>22176.891075611198</v>
      </c>
      <c r="M98">
        <f t="shared" si="26"/>
        <v>16952.409328155689</v>
      </c>
      <c r="N98">
        <f t="shared" si="27"/>
        <v>16952.409328155689</v>
      </c>
      <c r="O98">
        <f t="shared" si="16"/>
        <v>0</v>
      </c>
      <c r="P98">
        <f t="shared" si="17"/>
        <v>0</v>
      </c>
      <c r="Q98">
        <f t="shared" si="18"/>
        <v>0</v>
      </c>
    </row>
    <row r="99" spans="1:17" x14ac:dyDescent="0.2">
      <c r="A99" s="4">
        <v>43132</v>
      </c>
      <c r="B99" s="2">
        <v>122.53</v>
      </c>
      <c r="C99" s="2">
        <v>62.93</v>
      </c>
      <c r="D99" s="3">
        <f t="shared" si="19"/>
        <v>-3.7621740496387002E-2</v>
      </c>
      <c r="E99" s="3">
        <f t="shared" si="20"/>
        <v>-1.2552957790679331E-2</v>
      </c>
      <c r="F99">
        <f t="shared" si="21"/>
        <v>-3.5114862225816237E-2</v>
      </c>
      <c r="G99">
        <f t="shared" si="15"/>
        <v>-2.7594227414103934E-2</v>
      </c>
      <c r="H99">
        <f t="shared" si="22"/>
        <v>-2.0073592602391631E-2</v>
      </c>
      <c r="I99">
        <f t="shared" si="28"/>
        <v>27607.89497457413</v>
      </c>
      <c r="J99">
        <f t="shared" si="23"/>
        <v>28612.623299660903</v>
      </c>
      <c r="K99">
        <f t="shared" si="24"/>
        <v>21564.936899932971</v>
      </c>
      <c r="L99">
        <f t="shared" si="25"/>
        <v>22176.891075611198</v>
      </c>
      <c r="M99">
        <f t="shared" si="26"/>
        <v>16612.113569673307</v>
      </c>
      <c r="N99">
        <f t="shared" si="27"/>
        <v>16952.409328155689</v>
      </c>
      <c r="O99">
        <f t="shared" si="16"/>
        <v>-3.5114862225816279E-2</v>
      </c>
      <c r="P99">
        <f t="shared" si="17"/>
        <v>-2.7594227414103889E-2</v>
      </c>
      <c r="Q99">
        <f t="shared" si="18"/>
        <v>-2.0073592602391721E-2</v>
      </c>
    </row>
    <row r="100" spans="1:17" x14ac:dyDescent="0.2">
      <c r="A100" s="4">
        <v>43160</v>
      </c>
      <c r="B100" s="2">
        <v>119.64</v>
      </c>
      <c r="C100" s="2">
        <v>63.37</v>
      </c>
      <c r="D100" s="3">
        <f t="shared" si="19"/>
        <v>-2.3586060556598398E-2</v>
      </c>
      <c r="E100" s="3">
        <f t="shared" si="20"/>
        <v>6.9918957571903917E-3</v>
      </c>
      <c r="F100">
        <f t="shared" si="21"/>
        <v>-2.052826492521952E-2</v>
      </c>
      <c r="G100">
        <f t="shared" si="15"/>
        <v>-1.1354878031082882E-2</v>
      </c>
      <c r="H100">
        <f t="shared" si="22"/>
        <v>-2.181491136946245E-3</v>
      </c>
      <c r="I100">
        <f t="shared" si="28"/>
        <v>27041.152792508434</v>
      </c>
      <c r="J100">
        <f t="shared" si="23"/>
        <v>28612.623299660903</v>
      </c>
      <c r="K100">
        <f t="shared" si="24"/>
        <v>21320.069671686233</v>
      </c>
      <c r="L100">
        <f t="shared" si="25"/>
        <v>22176.891075611198</v>
      </c>
      <c r="M100">
        <f t="shared" si="26"/>
        <v>16575.874391155121</v>
      </c>
      <c r="N100">
        <f t="shared" si="27"/>
        <v>16952.409328155689</v>
      </c>
      <c r="O100">
        <f t="shared" si="16"/>
        <v>-5.4922279956451714E-2</v>
      </c>
      <c r="P100">
        <f t="shared" si="17"/>
        <v>-3.8635776358537766E-2</v>
      </c>
      <c r="Q100">
        <f t="shared" si="18"/>
        <v>-2.2211293374989061E-2</v>
      </c>
    </row>
    <row r="101" spans="1:17" x14ac:dyDescent="0.2">
      <c r="A101" s="4">
        <v>43191</v>
      </c>
      <c r="B101" s="2">
        <v>120.66</v>
      </c>
      <c r="C101" s="2">
        <v>62.8</v>
      </c>
      <c r="D101" s="3">
        <f t="shared" si="19"/>
        <v>8.5255767301906094E-3</v>
      </c>
      <c r="E101" s="3">
        <f t="shared" si="20"/>
        <v>-8.9947924885592778E-3</v>
      </c>
      <c r="F101">
        <f t="shared" si="21"/>
        <v>6.7735398083156205E-3</v>
      </c>
      <c r="G101">
        <f t="shared" si="15"/>
        <v>1.5174290426906542E-3</v>
      </c>
      <c r="H101">
        <f t="shared" si="22"/>
        <v>-3.7386817229343111E-3</v>
      </c>
      <c r="I101">
        <f t="shared" si="28"/>
        <v>27224.317117411232</v>
      </c>
      <c r="J101">
        <f t="shared" si="23"/>
        <v>28612.623299660903</v>
      </c>
      <c r="K101">
        <f t="shared" si="24"/>
        <v>21352.421364598238</v>
      </c>
      <c r="L101">
        <f t="shared" si="25"/>
        <v>22176.891075611198</v>
      </c>
      <c r="M101">
        <f t="shared" si="26"/>
        <v>16513.902472527254</v>
      </c>
      <c r="N101">
        <f t="shared" si="27"/>
        <v>16952.409328155689</v>
      </c>
      <c r="O101">
        <f t="shared" si="16"/>
        <v>-4.8520758397784691E-2</v>
      </c>
      <c r="P101">
        <f t="shared" si="17"/>
        <v>-3.7176974364980353E-2</v>
      </c>
      <c r="Q101">
        <f t="shared" si="18"/>
        <v>-2.586693414133967E-2</v>
      </c>
    </row>
    <row r="102" spans="1:17" x14ac:dyDescent="0.2">
      <c r="A102" s="4">
        <v>43221</v>
      </c>
      <c r="B102" s="2">
        <v>123.95</v>
      </c>
      <c r="C102" s="2">
        <v>63.24</v>
      </c>
      <c r="D102" s="3">
        <f t="shared" si="19"/>
        <v>2.7266699817669604E-2</v>
      </c>
      <c r="E102" s="3">
        <f t="shared" si="20"/>
        <v>7.0063694267517018E-3</v>
      </c>
      <c r="F102">
        <f t="shared" si="21"/>
        <v>2.5240666778577815E-2</v>
      </c>
      <c r="G102">
        <f t="shared" si="15"/>
        <v>1.9162567661302442E-2</v>
      </c>
      <c r="H102">
        <f t="shared" si="22"/>
        <v>1.3084468544027072E-2</v>
      </c>
      <c r="I102">
        <f t="shared" si="28"/>
        <v>27911.47703404614</v>
      </c>
      <c r="J102">
        <f t="shared" si="23"/>
        <v>28612.623299660903</v>
      </c>
      <c r="K102">
        <f t="shared" si="24"/>
        <v>21761.588583729994</v>
      </c>
      <c r="L102">
        <f t="shared" si="25"/>
        <v>22176.891075611198</v>
      </c>
      <c r="M102">
        <f t="shared" si="26"/>
        <v>16729.978109968168</v>
      </c>
      <c r="N102">
        <f t="shared" si="27"/>
        <v>16952.409328155689</v>
      </c>
      <c r="O102">
        <f t="shared" si="16"/>
        <v>-2.450478791376931E-2</v>
      </c>
      <c r="P102">
        <f t="shared" si="17"/>
        <v>-1.8726812990389252E-2</v>
      </c>
      <c r="Q102">
        <f t="shared" si="18"/>
        <v>-1.3120920683415305E-2</v>
      </c>
    </row>
    <row r="103" spans="1:17" x14ac:dyDescent="0.2">
      <c r="A103" s="4">
        <v>43252</v>
      </c>
      <c r="B103" s="2">
        <v>124.29</v>
      </c>
      <c r="C103" s="2">
        <v>63.21</v>
      </c>
      <c r="D103" s="3">
        <f t="shared" si="19"/>
        <v>2.7430415490117266E-3</v>
      </c>
      <c r="E103" s="3">
        <f t="shared" si="20"/>
        <v>-4.7438330170779253E-4</v>
      </c>
      <c r="F103">
        <f t="shared" si="21"/>
        <v>2.4212990639397749E-3</v>
      </c>
      <c r="G103">
        <f t="shared" si="15"/>
        <v>1.4560716087239189E-3</v>
      </c>
      <c r="H103">
        <f t="shared" si="22"/>
        <v>4.9084415350806319E-4</v>
      </c>
      <c r="I103">
        <f t="shared" si="28"/>
        <v>27979.059067261853</v>
      </c>
      <c r="J103">
        <f t="shared" si="23"/>
        <v>28612.623299660903</v>
      </c>
      <c r="K103">
        <f t="shared" si="24"/>
        <v>21793.275015027495</v>
      </c>
      <c r="L103">
        <f t="shared" si="25"/>
        <v>22176.891075611198</v>
      </c>
      <c r="M103">
        <f t="shared" si="26"/>
        <v>16738.189921911762</v>
      </c>
      <c r="N103">
        <f t="shared" si="27"/>
        <v>16952.409328155689</v>
      </c>
      <c r="O103">
        <f t="shared" si="16"/>
        <v>-2.214282226986708E-2</v>
      </c>
      <c r="P103">
        <f t="shared" si="17"/>
        <v>-1.7298008962382538E-2</v>
      </c>
      <c r="Q103">
        <f t="shared" si="18"/>
        <v>-1.2636516857113422E-2</v>
      </c>
    </row>
    <row r="104" spans="1:17" x14ac:dyDescent="0.2">
      <c r="A104" s="4">
        <v>43282</v>
      </c>
      <c r="B104" s="2">
        <v>128.96</v>
      </c>
      <c r="C104" s="2">
        <v>63.34</v>
      </c>
      <c r="D104" s="3">
        <f t="shared" si="19"/>
        <v>3.7573417008608834E-2</v>
      </c>
      <c r="E104" s="3">
        <f t="shared" si="20"/>
        <v>2.0566366081316012E-3</v>
      </c>
      <c r="F104">
        <f t="shared" si="21"/>
        <v>3.4021738968561116E-2</v>
      </c>
      <c r="G104">
        <f t="shared" si="15"/>
        <v>2.3366704848417942E-2</v>
      </c>
      <c r="H104">
        <f t="shared" si="22"/>
        <v>1.2711670728274772E-2</v>
      </c>
      <c r="I104">
        <f t="shared" si="28"/>
        <v>28930.955311434187</v>
      </c>
      <c r="J104">
        <f t="shared" si="23"/>
        <v>28930.955311434187</v>
      </c>
      <c r="K104">
        <f t="shared" si="24"/>
        <v>22302.512039984042</v>
      </c>
      <c r="L104">
        <f t="shared" si="25"/>
        <v>22302.512039984042</v>
      </c>
      <c r="M104">
        <f t="shared" si="26"/>
        <v>16950.960280786432</v>
      </c>
      <c r="N104">
        <f t="shared" si="27"/>
        <v>16952.409328155689</v>
      </c>
      <c r="O104">
        <f t="shared" si="16"/>
        <v>0</v>
      </c>
      <c r="P104">
        <f t="shared" si="17"/>
        <v>0</v>
      </c>
      <c r="Q104">
        <f t="shared" si="18"/>
        <v>-8.5477370278530529E-5</v>
      </c>
    </row>
    <row r="105" spans="1:17" x14ac:dyDescent="0.2">
      <c r="A105" s="4">
        <v>43313</v>
      </c>
      <c r="B105" s="2">
        <v>133.38999999999999</v>
      </c>
      <c r="C105" s="2">
        <v>63.76</v>
      </c>
      <c r="D105" s="3">
        <f t="shared" si="19"/>
        <v>3.4351736972704439E-2</v>
      </c>
      <c r="E105" s="3">
        <f t="shared" si="20"/>
        <v>6.6308809598989438E-3</v>
      </c>
      <c r="F105">
        <f t="shared" si="21"/>
        <v>3.1579651371423892E-2</v>
      </c>
      <c r="G105">
        <f t="shared" si="15"/>
        <v>2.3263394567582238E-2</v>
      </c>
      <c r="H105">
        <f t="shared" si="22"/>
        <v>1.4947137763740591E-2</v>
      </c>
      <c r="I105">
        <f t="shared" si="28"/>
        <v>29844.584794011524</v>
      </c>
      <c r="J105">
        <f t="shared" si="23"/>
        <v>29844.584794011524</v>
      </c>
      <c r="K105">
        <f t="shared" si="24"/>
        <v>22821.344177418443</v>
      </c>
      <c r="L105">
        <f t="shared" si="25"/>
        <v>22821.344177418443</v>
      </c>
      <c r="M105">
        <f t="shared" si="26"/>
        <v>17204.328619331045</v>
      </c>
      <c r="N105">
        <f t="shared" si="27"/>
        <v>17204.328619331045</v>
      </c>
      <c r="O105">
        <f t="shared" si="16"/>
        <v>0</v>
      </c>
      <c r="P105">
        <f t="shared" si="17"/>
        <v>0</v>
      </c>
      <c r="Q105">
        <f t="shared" si="18"/>
        <v>0</v>
      </c>
    </row>
    <row r="106" spans="1:17" x14ac:dyDescent="0.2">
      <c r="A106" s="4">
        <v>43344</v>
      </c>
      <c r="B106" s="2">
        <v>133.01</v>
      </c>
      <c r="C106" s="2">
        <v>63.41</v>
      </c>
      <c r="D106" s="3">
        <f t="shared" si="19"/>
        <v>-2.8487892645625568E-3</v>
      </c>
      <c r="E106" s="3">
        <f t="shared" si="20"/>
        <v>-5.4893350062735768E-3</v>
      </c>
      <c r="F106">
        <f t="shared" si="21"/>
        <v>-3.112843838733659E-3</v>
      </c>
      <c r="G106">
        <f t="shared" si="15"/>
        <v>-3.905007561246965E-3</v>
      </c>
      <c r="H106">
        <f t="shared" si="22"/>
        <v>-4.6971712837602705E-3</v>
      </c>
      <c r="I106">
        <f t="shared" si="28"/>
        <v>29751.683262115919</v>
      </c>
      <c r="J106">
        <f t="shared" si="23"/>
        <v>29844.584794011524</v>
      </c>
      <c r="K106">
        <f t="shared" si="24"/>
        <v>22732.226655847804</v>
      </c>
      <c r="L106">
        <f t="shared" si="25"/>
        <v>22821.344177418443</v>
      </c>
      <c r="M106">
        <f t="shared" si="26"/>
        <v>17123.516940983947</v>
      </c>
      <c r="N106">
        <f t="shared" si="27"/>
        <v>17204.328619331045</v>
      </c>
      <c r="O106">
        <f t="shared" si="16"/>
        <v>-3.1128438387336699E-3</v>
      </c>
      <c r="P106">
        <f t="shared" si="17"/>
        <v>-3.9050075612470092E-3</v>
      </c>
      <c r="Q106">
        <f t="shared" si="18"/>
        <v>-4.6971712837603485E-3</v>
      </c>
    </row>
    <row r="107" spans="1:17" x14ac:dyDescent="0.2">
      <c r="A107" s="4">
        <v>43374</v>
      </c>
      <c r="B107" s="2">
        <v>123.74</v>
      </c>
      <c r="C107" s="2">
        <v>62.86</v>
      </c>
      <c r="D107" s="3">
        <f t="shared" si="19"/>
        <v>-6.9694007969325567E-2</v>
      </c>
      <c r="E107" s="3">
        <f t="shared" si="20"/>
        <v>-8.6737107711717387E-3</v>
      </c>
      <c r="F107">
        <f t="shared" si="21"/>
        <v>-6.3591978249510198E-2</v>
      </c>
      <c r="G107">
        <f t="shared" si="15"/>
        <v>-4.5285889090064035E-2</v>
      </c>
      <c r="H107">
        <f t="shared" si="22"/>
        <v>-2.6979799930617887E-2</v>
      </c>
      <c r="I107">
        <f t="shared" si="28"/>
        <v>27859.714867225124</v>
      </c>
      <c r="J107">
        <f t="shared" si="23"/>
        <v>29844.584794011524</v>
      </c>
      <c r="K107">
        <f t="shared" si="24"/>
        <v>21702.777560740884</v>
      </c>
      <c r="L107">
        <f t="shared" si="25"/>
        <v>22821.344177418443</v>
      </c>
      <c r="M107">
        <f t="shared" si="26"/>
        <v>16661.527879807654</v>
      </c>
      <c r="N107">
        <f t="shared" si="27"/>
        <v>17204.328619331045</v>
      </c>
      <c r="O107">
        <f t="shared" si="16"/>
        <v>-6.6506870190557121E-2</v>
      </c>
      <c r="P107">
        <f t="shared" si="17"/>
        <v>-4.9014054911996507E-2</v>
      </c>
      <c r="Q107">
        <f t="shared" si="18"/>
        <v>-3.1550242472902501E-2</v>
      </c>
    </row>
    <row r="108" spans="1:17" x14ac:dyDescent="0.2">
      <c r="A108" s="4">
        <v>43405</v>
      </c>
      <c r="B108" s="2">
        <v>126.24</v>
      </c>
      <c r="C108" s="2">
        <v>63.25</v>
      </c>
      <c r="D108" s="3">
        <f t="shared" si="19"/>
        <v>2.0203652820429907E-2</v>
      </c>
      <c r="E108" s="3">
        <f t="shared" si="20"/>
        <v>6.2042634425707455E-3</v>
      </c>
      <c r="F108">
        <f t="shared" si="21"/>
        <v>1.8803713882643992E-2</v>
      </c>
      <c r="G108">
        <f t="shared" si="15"/>
        <v>1.4603897069286243E-2</v>
      </c>
      <c r="H108">
        <f t="shared" si="22"/>
        <v>1.0404080255928493E-2</v>
      </c>
      <c r="I108">
        <f t="shared" si="28"/>
        <v>28383.580974440469</v>
      </c>
      <c r="J108">
        <f t="shared" si="23"/>
        <v>29844.584794011524</v>
      </c>
      <c r="K108">
        <f t="shared" si="24"/>
        <v>22019.72269035556</v>
      </c>
      <c r="L108">
        <f t="shared" si="25"/>
        <v>22821.344177418443</v>
      </c>
      <c r="M108">
        <f t="shared" si="26"/>
        <v>16834.875753055563</v>
      </c>
      <c r="N108">
        <f t="shared" si="27"/>
        <v>17204.328619331045</v>
      </c>
      <c r="O108">
        <f t="shared" si="16"/>
        <v>-4.895373246620649E-2</v>
      </c>
      <c r="P108">
        <f t="shared" si="17"/>
        <v>-3.5125954055593378E-2</v>
      </c>
      <c r="Q108">
        <f t="shared" si="18"/>
        <v>-2.147441347175616E-2</v>
      </c>
    </row>
    <row r="109" spans="1:17" x14ac:dyDescent="0.2">
      <c r="A109" s="4">
        <v>43435</v>
      </c>
      <c r="B109" s="2">
        <v>113.98</v>
      </c>
      <c r="C109" s="2">
        <v>64.28</v>
      </c>
      <c r="D109" s="3">
        <f t="shared" si="19"/>
        <v>-9.7116603295310466E-2</v>
      </c>
      <c r="E109" s="3">
        <f t="shared" si="20"/>
        <v>1.6284584980237105E-2</v>
      </c>
      <c r="F109">
        <f t="shared" si="21"/>
        <v>-8.5776484467755723E-2</v>
      </c>
      <c r="G109">
        <f t="shared" si="15"/>
        <v>-5.1756127985091438E-2</v>
      </c>
      <c r="H109">
        <f t="shared" si="22"/>
        <v>-1.7735771502427167E-2</v>
      </c>
      <c r="I109">
        <f t="shared" si="28"/>
        <v>25948.937181847086</v>
      </c>
      <c r="J109">
        <f t="shared" si="23"/>
        <v>29844.584794011524</v>
      </c>
      <c r="K109">
        <f t="shared" si="24"/>
        <v>20880.067104597296</v>
      </c>
      <c r="L109">
        <f t="shared" si="25"/>
        <v>22821.344177418443</v>
      </c>
      <c r="M109">
        <f t="shared" si="26"/>
        <v>16536.29624342762</v>
      </c>
      <c r="N109">
        <f t="shared" si="27"/>
        <v>17204.328619331045</v>
      </c>
      <c r="O109">
        <f t="shared" si="16"/>
        <v>-0.13053113786143611</v>
      </c>
      <c r="P109">
        <f t="shared" si="17"/>
        <v>-8.5064098666985055E-2</v>
      </c>
      <c r="Q109">
        <f t="shared" si="18"/>
        <v>-3.8829319683699515E-2</v>
      </c>
    </row>
    <row r="110" spans="1:17" x14ac:dyDescent="0.2">
      <c r="A110" s="4">
        <v>43466</v>
      </c>
      <c r="B110" s="2">
        <v>124.44</v>
      </c>
      <c r="C110" s="2">
        <v>65.319999999999993</v>
      </c>
      <c r="D110" s="3">
        <f t="shared" si="19"/>
        <v>9.177048605018423E-2</v>
      </c>
      <c r="E110" s="3">
        <f t="shared" si="20"/>
        <v>1.6179215930304691E-2</v>
      </c>
      <c r="F110">
        <f t="shared" si="21"/>
        <v>8.4211359038196279E-2</v>
      </c>
      <c r="G110">
        <f t="shared" si="15"/>
        <v>6.1533978002232419E-2</v>
      </c>
      <c r="H110">
        <f t="shared" si="22"/>
        <v>3.8856596966268551E-2</v>
      </c>
      <c r="I110">
        <f t="shared" si="28"/>
        <v>28134.132447527212</v>
      </c>
      <c r="J110">
        <f t="shared" si="23"/>
        <v>29844.584794011524</v>
      </c>
      <c r="K110">
        <f t="shared" si="24"/>
        <v>22164.900694496722</v>
      </c>
      <c r="L110">
        <f t="shared" si="25"/>
        <v>22821.344177418443</v>
      </c>
      <c r="M110">
        <f t="shared" si="26"/>
        <v>17178.840441873308</v>
      </c>
      <c r="N110">
        <f t="shared" si="27"/>
        <v>17204.328619331045</v>
      </c>
      <c r="O110">
        <f t="shared" si="16"/>
        <v>-5.7311983339353501E-2</v>
      </c>
      <c r="P110">
        <f t="shared" si="17"/>
        <v>-2.8764453040906579E-2</v>
      </c>
      <c r="Q110">
        <f t="shared" si="18"/>
        <v>-1.4814979428547925E-3</v>
      </c>
    </row>
    <row r="111" spans="1:17" x14ac:dyDescent="0.2">
      <c r="A111" s="4">
        <v>43497</v>
      </c>
      <c r="B111" s="2">
        <v>128.87</v>
      </c>
      <c r="C111" s="2">
        <v>65.099999999999994</v>
      </c>
      <c r="D111" s="3">
        <f t="shared" si="19"/>
        <v>3.5599485695917865E-2</v>
      </c>
      <c r="E111" s="3">
        <f t="shared" si="20"/>
        <v>-3.3680342927128182E-3</v>
      </c>
      <c r="F111">
        <f t="shared" si="21"/>
        <v>3.17027336970548E-2</v>
      </c>
      <c r="G111">
        <f t="shared" si="15"/>
        <v>2.0012477700465593E-2</v>
      </c>
      <c r="H111">
        <f t="shared" si="22"/>
        <v>8.3222217038763872E-3</v>
      </c>
      <c r="I111">
        <f t="shared" si="28"/>
        <v>29026.061356308837</v>
      </c>
      <c r="J111">
        <f t="shared" si="23"/>
        <v>29844.584794011524</v>
      </c>
      <c r="K111">
        <f t="shared" si="24"/>
        <v>22608.475275378372</v>
      </c>
      <c r="L111">
        <f t="shared" si="25"/>
        <v>22821.344177418443</v>
      </c>
      <c r="M111">
        <f t="shared" si="26"/>
        <v>17321.806560646095</v>
      </c>
      <c r="N111">
        <f t="shared" si="27"/>
        <v>17321.806560646095</v>
      </c>
      <c r="O111">
        <f t="shared" si="16"/>
        <v>-2.7426196187756213E-2</v>
      </c>
      <c r="P111">
        <f t="shared" si="17"/>
        <v>-9.3276233154883093E-3</v>
      </c>
      <c r="Q111">
        <f t="shared" si="18"/>
        <v>0</v>
      </c>
    </row>
    <row r="112" spans="1:17" x14ac:dyDescent="0.2">
      <c r="A112" s="4">
        <v>43525</v>
      </c>
      <c r="B112" s="2">
        <v>130</v>
      </c>
      <c r="C112" s="2">
        <v>66.37</v>
      </c>
      <c r="D112" s="3">
        <f t="shared" si="19"/>
        <v>8.7685264219756753E-3</v>
      </c>
      <c r="E112" s="3">
        <f t="shared" si="20"/>
        <v>1.9508448540706658E-2</v>
      </c>
      <c r="F112">
        <f t="shared" si="21"/>
        <v>9.8425186338487736E-3</v>
      </c>
      <c r="G112">
        <f t="shared" si="15"/>
        <v>1.3064495269468068E-2</v>
      </c>
      <c r="H112">
        <f t="shared" si="22"/>
        <v>1.6286471905087363E-2</v>
      </c>
      <c r="I112">
        <f t="shared" si="28"/>
        <v>29311.75090607554</v>
      </c>
      <c r="J112">
        <f t="shared" si="23"/>
        <v>29844.584794011524</v>
      </c>
      <c r="K112">
        <f t="shared" si="24"/>
        <v>22903.843593663438</v>
      </c>
      <c r="L112">
        <f t="shared" si="25"/>
        <v>22903.843593663438</v>
      </c>
      <c r="M112">
        <f t="shared" si="26"/>
        <v>17603.917676541416</v>
      </c>
      <c r="N112">
        <f t="shared" si="27"/>
        <v>17603.917676541416</v>
      </c>
      <c r="O112">
        <f t="shared" si="16"/>
        <v>-1.7853620400941184E-2</v>
      </c>
      <c r="P112">
        <f t="shared" si="17"/>
        <v>0</v>
      </c>
      <c r="Q112">
        <f t="shared" si="18"/>
        <v>0</v>
      </c>
    </row>
    <row r="113" spans="1:17" x14ac:dyDescent="0.2">
      <c r="A113" s="4">
        <v>43556</v>
      </c>
      <c r="B113" s="2">
        <v>135.83000000000001</v>
      </c>
      <c r="C113" s="2">
        <v>66.34</v>
      </c>
      <c r="D113" s="3">
        <f t="shared" si="19"/>
        <v>4.484615384615398E-2</v>
      </c>
      <c r="E113" s="3">
        <f t="shared" si="20"/>
        <v>-4.5201145095674633E-4</v>
      </c>
      <c r="F113">
        <f t="shared" si="21"/>
        <v>4.0316337316442907E-2</v>
      </c>
      <c r="G113">
        <f t="shared" si="15"/>
        <v>2.6726887727309686E-2</v>
      </c>
      <c r="H113">
        <f t="shared" si="22"/>
        <v>1.313743813817647E-2</v>
      </c>
      <c r="I113">
        <f t="shared" si="28"/>
        <v>30493.493342940437</v>
      </c>
      <c r="J113">
        <f t="shared" si="23"/>
        <v>30493.493342940437</v>
      </c>
      <c r="K113">
        <f t="shared" si="24"/>
        <v>23515.992049915141</v>
      </c>
      <c r="L113">
        <f t="shared" si="25"/>
        <v>23515.992049915141</v>
      </c>
      <c r="M113">
        <f t="shared" si="26"/>
        <v>17835.188056006529</v>
      </c>
      <c r="N113">
        <f t="shared" si="27"/>
        <v>17835.188056006529</v>
      </c>
      <c r="O113">
        <f t="shared" si="16"/>
        <v>0</v>
      </c>
      <c r="P113">
        <f t="shared" si="17"/>
        <v>0</v>
      </c>
      <c r="Q113">
        <f t="shared" si="18"/>
        <v>0</v>
      </c>
    </row>
    <row r="114" spans="1:17" x14ac:dyDescent="0.2">
      <c r="A114" s="4">
        <v>43586</v>
      </c>
      <c r="B114" s="2">
        <v>127.07</v>
      </c>
      <c r="C114" s="2">
        <v>67.56</v>
      </c>
      <c r="D114" s="3">
        <f t="shared" si="19"/>
        <v>-6.4492380181108921E-2</v>
      </c>
      <c r="E114" s="3">
        <f t="shared" si="20"/>
        <v>1.8390111546578325E-2</v>
      </c>
      <c r="F114">
        <f t="shared" si="21"/>
        <v>-5.6204131008340201E-2</v>
      </c>
      <c r="G114">
        <f t="shared" si="15"/>
        <v>-3.1339383490034019E-2</v>
      </c>
      <c r="H114">
        <f t="shared" si="22"/>
        <v>-6.4746359717278486E-3</v>
      </c>
      <c r="I114">
        <f t="shared" si="28"/>
        <v>28779.633048191863</v>
      </c>
      <c r="J114">
        <f t="shared" si="23"/>
        <v>30493.493342940437</v>
      </c>
      <c r="K114">
        <f t="shared" si="24"/>
        <v>22779.015356914257</v>
      </c>
      <c r="L114">
        <f t="shared" si="25"/>
        <v>23515.992049915141</v>
      </c>
      <c r="M114">
        <f t="shared" si="26"/>
        <v>17719.711705856578</v>
      </c>
      <c r="N114">
        <f t="shared" si="27"/>
        <v>17835.188056006529</v>
      </c>
      <c r="O114">
        <f t="shared" si="16"/>
        <v>-5.6204131008340208E-2</v>
      </c>
      <c r="P114">
        <f t="shared" si="17"/>
        <v>-3.1339383490034178E-2</v>
      </c>
      <c r="Q114">
        <f t="shared" si="18"/>
        <v>-6.4746359717278157E-3</v>
      </c>
    </row>
    <row r="115" spans="1:17" x14ac:dyDescent="0.2">
      <c r="A115" s="4">
        <v>43617</v>
      </c>
      <c r="B115" s="2">
        <v>135.56</v>
      </c>
      <c r="C115" s="2">
        <v>68.41</v>
      </c>
      <c r="D115" s="3">
        <f t="shared" si="19"/>
        <v>6.6813567325096468E-2</v>
      </c>
      <c r="E115" s="3">
        <f t="shared" si="20"/>
        <v>1.258140911782113E-2</v>
      </c>
      <c r="F115">
        <f t="shared" si="21"/>
        <v>6.1390351504368938E-2</v>
      </c>
      <c r="G115">
        <f t="shared" si="15"/>
        <v>4.5120704042186328E-2</v>
      </c>
      <c r="H115">
        <f t="shared" si="22"/>
        <v>2.8851056580003729E-2</v>
      </c>
      <c r="I115">
        <f t="shared" si="28"/>
        <v>30546.424837187114</v>
      </c>
      <c r="J115">
        <f t="shared" si="23"/>
        <v>30546.424837187114</v>
      </c>
      <c r="K115">
        <f t="shared" si="24"/>
        <v>23806.820567206003</v>
      </c>
      <c r="L115">
        <f t="shared" si="25"/>
        <v>23806.820567206003</v>
      </c>
      <c r="M115">
        <f t="shared" si="26"/>
        <v>18230.944110863602</v>
      </c>
      <c r="N115">
        <f t="shared" si="27"/>
        <v>18230.944110863602</v>
      </c>
      <c r="O115">
        <f t="shared" si="16"/>
        <v>0</v>
      </c>
      <c r="P115">
        <f t="shared" si="17"/>
        <v>0</v>
      </c>
      <c r="Q115">
        <f t="shared" si="18"/>
        <v>0</v>
      </c>
    </row>
    <row r="116" spans="1:17" x14ac:dyDescent="0.2">
      <c r="A116" s="4">
        <v>43647</v>
      </c>
      <c r="B116" s="2">
        <v>137.97999999999999</v>
      </c>
      <c r="C116" s="2">
        <v>68.510000000000005</v>
      </c>
      <c r="D116" s="3">
        <f t="shared" si="19"/>
        <v>1.7851873709058719E-2</v>
      </c>
      <c r="E116" s="3">
        <f t="shared" si="20"/>
        <v>1.461774594357701E-3</v>
      </c>
      <c r="F116">
        <f t="shared" si="21"/>
        <v>1.6212863797588618E-2</v>
      </c>
      <c r="G116">
        <f t="shared" si="15"/>
        <v>1.1295834063178311E-2</v>
      </c>
      <c r="H116">
        <f t="shared" si="22"/>
        <v>6.3788043287680059E-3</v>
      </c>
      <c r="I116">
        <f t="shared" si="28"/>
        <v>31041.669862575709</v>
      </c>
      <c r="J116">
        <f t="shared" si="23"/>
        <v>31041.669862575709</v>
      </c>
      <c r="K116">
        <f t="shared" si="24"/>
        <v>24075.738461905024</v>
      </c>
      <c r="L116">
        <f t="shared" si="25"/>
        <v>24075.738461905024</v>
      </c>
      <c r="M116">
        <f t="shared" si="26"/>
        <v>18347.235736075505</v>
      </c>
      <c r="N116">
        <f t="shared" si="27"/>
        <v>18347.235736075505</v>
      </c>
      <c r="O116">
        <f t="shared" si="16"/>
        <v>0</v>
      </c>
      <c r="P116">
        <f t="shared" si="17"/>
        <v>0</v>
      </c>
      <c r="Q116">
        <f t="shared" si="18"/>
        <v>0</v>
      </c>
    </row>
    <row r="117" spans="1:17" x14ac:dyDescent="0.2">
      <c r="A117" s="4">
        <v>43678</v>
      </c>
      <c r="B117" s="2">
        <v>135.11000000000001</v>
      </c>
      <c r="C117" s="2">
        <v>70.41</v>
      </c>
      <c r="D117" s="3">
        <f t="shared" si="19"/>
        <v>-2.0800115958834464E-2</v>
      </c>
      <c r="E117" s="3">
        <f t="shared" si="20"/>
        <v>2.7733177638300743E-2</v>
      </c>
      <c r="F117">
        <f t="shared" si="21"/>
        <v>-1.5946786599120945E-2</v>
      </c>
      <c r="G117">
        <f t="shared" si="15"/>
        <v>-1.3867985199803798E-3</v>
      </c>
      <c r="H117">
        <f t="shared" si="22"/>
        <v>1.3173189559160178E-2</v>
      </c>
      <c r="I117">
        <f t="shared" si="28"/>
        <v>30546.654977596849</v>
      </c>
      <c r="J117">
        <f t="shared" si="23"/>
        <v>31041.669862575709</v>
      </c>
      <c r="K117">
        <f t="shared" si="24"/>
        <v>24042.35026343862</v>
      </c>
      <c r="L117">
        <f t="shared" si="25"/>
        <v>24075.738461905024</v>
      </c>
      <c r="M117">
        <f t="shared" si="26"/>
        <v>18588.927350313428</v>
      </c>
      <c r="N117">
        <f t="shared" si="27"/>
        <v>18588.927350313428</v>
      </c>
      <c r="O117">
        <f t="shared" si="16"/>
        <v>-1.5946786599120966E-2</v>
      </c>
      <c r="P117">
        <f t="shared" si="17"/>
        <v>-1.386798519980359E-3</v>
      </c>
      <c r="Q117">
        <f t="shared" si="18"/>
        <v>0</v>
      </c>
    </row>
    <row r="118" spans="1:17" x14ac:dyDescent="0.2">
      <c r="A118" s="4">
        <v>43709</v>
      </c>
      <c r="B118" s="2">
        <v>136.88999999999999</v>
      </c>
      <c r="C118" s="2">
        <v>70.02</v>
      </c>
      <c r="D118" s="3">
        <f t="shared" si="19"/>
        <v>1.3174450447783093E-2</v>
      </c>
      <c r="E118" s="3">
        <f t="shared" si="20"/>
        <v>-5.5389859394971985E-3</v>
      </c>
      <c r="F118">
        <f t="shared" si="21"/>
        <v>1.1303106809055065E-2</v>
      </c>
      <c r="G118">
        <f t="shared" si="15"/>
        <v>5.6890758928709751E-3</v>
      </c>
      <c r="H118">
        <f t="shared" si="22"/>
        <v>7.5044976686888722E-5</v>
      </c>
      <c r="I118">
        <f t="shared" si="28"/>
        <v>30891.927081467977</v>
      </c>
      <c r="J118">
        <f t="shared" si="23"/>
        <v>31041.669862575709</v>
      </c>
      <c r="K118">
        <f t="shared" si="24"/>
        <v>24179.129018730309</v>
      </c>
      <c r="L118">
        <f t="shared" si="25"/>
        <v>24179.129018730309</v>
      </c>
      <c r="M118">
        <f t="shared" si="26"/>
        <v>18590.322355933065</v>
      </c>
      <c r="N118">
        <f t="shared" si="27"/>
        <v>18590.322355933065</v>
      </c>
      <c r="O118">
        <f t="shared" si="16"/>
        <v>-4.8239280222570624E-3</v>
      </c>
      <c r="P118">
        <f t="shared" si="17"/>
        <v>0</v>
      </c>
      <c r="Q118">
        <f t="shared" si="18"/>
        <v>0</v>
      </c>
    </row>
    <row r="119" spans="1:17" x14ac:dyDescent="0.2">
      <c r="A119" s="4">
        <v>43739</v>
      </c>
      <c r="B119" s="2">
        <v>140.41</v>
      </c>
      <c r="C119" s="2">
        <v>70.239999999999995</v>
      </c>
      <c r="D119" s="3">
        <f t="shared" si="19"/>
        <v>2.5714076996128377E-2</v>
      </c>
      <c r="E119" s="3">
        <f t="shared" si="20"/>
        <v>3.141959440160047E-3</v>
      </c>
      <c r="F119">
        <f t="shared" si="21"/>
        <v>2.3456865240531543E-2</v>
      </c>
      <c r="G119">
        <f t="shared" si="15"/>
        <v>1.6685229973741045E-2</v>
      </c>
      <c r="H119">
        <f t="shared" si="22"/>
        <v>9.9135947069505462E-3</v>
      </c>
      <c r="I119">
        <f t="shared" si="28"/>
        <v>31616.554852038298</v>
      </c>
      <c r="J119">
        <f t="shared" si="23"/>
        <v>31616.554852038298</v>
      </c>
      <c r="K119">
        <f t="shared" si="24"/>
        <v>24582.56334697258</v>
      </c>
      <c r="L119">
        <f t="shared" si="25"/>
        <v>24582.56334697258</v>
      </c>
      <c r="M119">
        <f t="shared" si="26"/>
        <v>18774.619277241349</v>
      </c>
      <c r="N119">
        <f t="shared" si="27"/>
        <v>18774.619277241349</v>
      </c>
      <c r="O119">
        <f t="shared" si="16"/>
        <v>0</v>
      </c>
      <c r="P119">
        <f t="shared" si="17"/>
        <v>0</v>
      </c>
      <c r="Q119">
        <f t="shared" si="18"/>
        <v>0</v>
      </c>
    </row>
    <row r="120" spans="1:17" x14ac:dyDescent="0.2">
      <c r="A120" s="4">
        <v>43770</v>
      </c>
      <c r="B120" s="2">
        <v>145.72999999999999</v>
      </c>
      <c r="C120" s="2">
        <v>70.209999999999994</v>
      </c>
      <c r="D120" s="3">
        <f t="shared" si="19"/>
        <v>3.7889039242219091E-2</v>
      </c>
      <c r="E120" s="3">
        <f t="shared" si="20"/>
        <v>-4.2710706150339561E-4</v>
      </c>
      <c r="F120">
        <f t="shared" si="21"/>
        <v>3.405742461184684E-2</v>
      </c>
      <c r="G120">
        <f t="shared" si="15"/>
        <v>2.2562580720730096E-2</v>
      </c>
      <c r="H120">
        <f t="shared" si="22"/>
        <v>1.106773682961335E-2</v>
      </c>
      <c r="I120">
        <f t="shared" si="28"/>
        <v>32693.333285397912</v>
      </c>
      <c r="J120">
        <f t="shared" si="23"/>
        <v>32693.333285397912</v>
      </c>
      <c r="K120">
        <f t="shared" si="24"/>
        <v>25137.209416811111</v>
      </c>
      <c r="L120">
        <f t="shared" si="25"/>
        <v>25137.209416811111</v>
      </c>
      <c r="M120">
        <f t="shared" si="26"/>
        <v>18982.41182247804</v>
      </c>
      <c r="N120">
        <f t="shared" si="27"/>
        <v>18982.41182247804</v>
      </c>
      <c r="O120">
        <f t="shared" si="16"/>
        <v>0</v>
      </c>
      <c r="P120">
        <f t="shared" si="17"/>
        <v>0</v>
      </c>
      <c r="Q120">
        <f t="shared" si="18"/>
        <v>0</v>
      </c>
    </row>
    <row r="121" spans="1:17" x14ac:dyDescent="0.2">
      <c r="A121" s="4">
        <v>43800</v>
      </c>
      <c r="B121" s="2">
        <v>149.01</v>
      </c>
      <c r="C121" s="2">
        <v>70</v>
      </c>
      <c r="D121" s="3">
        <f t="shared" si="19"/>
        <v>2.2507376655458655E-2</v>
      </c>
      <c r="E121" s="3">
        <f t="shared" si="20"/>
        <v>-2.9910269192421346E-3</v>
      </c>
      <c r="F121">
        <f t="shared" si="21"/>
        <v>1.9957536297988576E-2</v>
      </c>
      <c r="G121">
        <f t="shared" si="15"/>
        <v>1.2308015225578339E-2</v>
      </c>
      <c r="H121">
        <f t="shared" si="22"/>
        <v>4.6584941531681023E-3</v>
      </c>
      <c r="I121">
        <f t="shared" si="28"/>
        <v>33345.811671143478</v>
      </c>
      <c r="J121">
        <f t="shared" si="23"/>
        <v>33345.811671143478</v>
      </c>
      <c r="K121">
        <f t="shared" si="24"/>
        <v>25446.598573041774</v>
      </c>
      <c r="L121">
        <f t="shared" si="25"/>
        <v>25446.598573041774</v>
      </c>
      <c r="M121">
        <f t="shared" si="26"/>
        <v>19070.841276966086</v>
      </c>
      <c r="N121">
        <f t="shared" si="27"/>
        <v>19070.841276966086</v>
      </c>
      <c r="O121">
        <f t="shared" si="16"/>
        <v>0</v>
      </c>
      <c r="P121">
        <f t="shared" si="17"/>
        <v>0</v>
      </c>
      <c r="Q121">
        <f t="shared" si="18"/>
        <v>0</v>
      </c>
    </row>
    <row r="122" spans="1:17" x14ac:dyDescent="0.2">
      <c r="A122" s="4">
        <v>43831</v>
      </c>
      <c r="B122" s="2">
        <v>149.72</v>
      </c>
      <c r="C122" s="2">
        <v>71.7</v>
      </c>
      <c r="D122" s="3">
        <f t="shared" si="19"/>
        <v>4.7647808871889019E-3</v>
      </c>
      <c r="E122" s="3">
        <f t="shared" si="20"/>
        <v>2.4285714285714244E-2</v>
      </c>
      <c r="F122">
        <f t="shared" si="21"/>
        <v>6.7168742270414371E-3</v>
      </c>
      <c r="G122">
        <f t="shared" si="15"/>
        <v>1.2573154246599039E-2</v>
      </c>
      <c r="H122">
        <f t="shared" si="22"/>
        <v>1.842943426615664E-2</v>
      </c>
      <c r="I122">
        <f t="shared" si="28"/>
        <v>33569.791294137154</v>
      </c>
      <c r="J122">
        <f t="shared" si="23"/>
        <v>33569.791294137154</v>
      </c>
      <c r="K122">
        <f t="shared" si="24"/>
        <v>25766.542581951915</v>
      </c>
      <c r="L122">
        <f t="shared" si="25"/>
        <v>25766.542581951915</v>
      </c>
      <c r="M122">
        <f t="shared" si="26"/>
        <v>19422.306092680239</v>
      </c>
      <c r="N122">
        <f t="shared" si="27"/>
        <v>19422.306092680239</v>
      </c>
      <c r="O122">
        <f t="shared" si="16"/>
        <v>0</v>
      </c>
      <c r="P122">
        <f t="shared" si="17"/>
        <v>0</v>
      </c>
      <c r="Q122">
        <f t="shared" si="18"/>
        <v>0</v>
      </c>
    </row>
    <row r="123" spans="1:17" x14ac:dyDescent="0.2">
      <c r="A123" s="4">
        <v>43862</v>
      </c>
      <c r="B123" s="2">
        <v>137.75</v>
      </c>
      <c r="C123" s="2">
        <v>72.739999999999995</v>
      </c>
      <c r="D123" s="3">
        <f t="shared" si="19"/>
        <v>-7.9949238578680193E-2</v>
      </c>
      <c r="E123" s="3">
        <f t="shared" si="20"/>
        <v>1.4504881450488005E-2</v>
      </c>
      <c r="F123">
        <f t="shared" si="21"/>
        <v>-7.0503826575763373E-2</v>
      </c>
      <c r="G123">
        <f t="shared" si="15"/>
        <v>-4.2167590567012914E-2</v>
      </c>
      <c r="H123">
        <f t="shared" si="22"/>
        <v>-1.3831354558262456E-2</v>
      </c>
      <c r="I123">
        <f t="shared" si="28"/>
        <v>31202.992550550738</v>
      </c>
      <c r="J123">
        <f t="shared" si="23"/>
        <v>33569.791294137154</v>
      </c>
      <c r="K123">
        <f t="shared" si="24"/>
        <v>24680.029564028664</v>
      </c>
      <c r="L123">
        <f t="shared" si="25"/>
        <v>25766.542581951915</v>
      </c>
      <c r="M123">
        <f t="shared" si="26"/>
        <v>19153.669290773276</v>
      </c>
      <c r="N123">
        <f t="shared" si="27"/>
        <v>19422.306092680239</v>
      </c>
      <c r="O123">
        <f t="shared" si="16"/>
        <v>-7.0503826575763373E-2</v>
      </c>
      <c r="P123">
        <f t="shared" si="17"/>
        <v>-4.2167590567012914E-2</v>
      </c>
      <c r="Q123">
        <f t="shared" si="18"/>
        <v>-1.3831354558262565E-2</v>
      </c>
    </row>
    <row r="124" spans="1:17" x14ac:dyDescent="0.2">
      <c r="A124" s="4">
        <v>43891</v>
      </c>
      <c r="B124" s="2">
        <v>118.03</v>
      </c>
      <c r="C124" s="2">
        <v>71.709999999999994</v>
      </c>
      <c r="D124" s="3">
        <f t="shared" si="19"/>
        <v>-0.14315789473684215</v>
      </c>
      <c r="E124" s="3">
        <f t="shared" si="20"/>
        <v>-1.416002199615074E-2</v>
      </c>
      <c r="F124">
        <f t="shared" si="21"/>
        <v>-0.13025810746277303</v>
      </c>
      <c r="G124">
        <f t="shared" si="15"/>
        <v>-9.1558745640565584E-2</v>
      </c>
      <c r="H124">
        <f t="shared" si="22"/>
        <v>-5.2859383818358162E-2</v>
      </c>
      <c r="I124">
        <f t="shared" si="28"/>
        <v>27138.549793740996</v>
      </c>
      <c r="J124">
        <f t="shared" si="23"/>
        <v>33569.791294137154</v>
      </c>
      <c r="K124">
        <f t="shared" si="24"/>
        <v>22420.357014774127</v>
      </c>
      <c r="L124">
        <f t="shared" si="25"/>
        <v>25766.542581951915</v>
      </c>
      <c r="M124">
        <f t="shared" si="26"/>
        <v>18141.218134202391</v>
      </c>
      <c r="N124">
        <f t="shared" si="27"/>
        <v>19422.306092680239</v>
      </c>
      <c r="O124">
        <f t="shared" si="16"/>
        <v>-0.19157823901989379</v>
      </c>
      <c r="P124">
        <f t="shared" si="17"/>
        <v>-0.12986552450857769</v>
      </c>
      <c r="Q124">
        <f t="shared" si="18"/>
        <v>-6.5959621497297727E-2</v>
      </c>
    </row>
    <row r="125" spans="1:17" x14ac:dyDescent="0.2">
      <c r="A125" s="4">
        <v>43922</v>
      </c>
      <c r="B125" s="2">
        <v>134.19999999999999</v>
      </c>
      <c r="C125" s="2">
        <v>73.67</v>
      </c>
      <c r="D125" s="3">
        <f t="shared" si="19"/>
        <v>0.13699906803355066</v>
      </c>
      <c r="E125" s="3">
        <f t="shared" si="20"/>
        <v>2.7332310695858508E-2</v>
      </c>
      <c r="F125">
        <f t="shared" si="21"/>
        <v>0.12603239229978144</v>
      </c>
      <c r="G125">
        <f t="shared" si="15"/>
        <v>9.3132365098473793E-2</v>
      </c>
      <c r="H125">
        <f t="shared" si="22"/>
        <v>6.0232337897166151E-2</v>
      </c>
      <c r="I125">
        <f t="shared" si="28"/>
        <v>30558.886147792917</v>
      </c>
      <c r="J125">
        <f t="shared" si="23"/>
        <v>33569.791294137154</v>
      </c>
      <c r="K125">
        <f t="shared" si="24"/>
        <v>24508.417889912202</v>
      </c>
      <c r="L125">
        <f t="shared" si="25"/>
        <v>25766.542581951915</v>
      </c>
      <c r="M125">
        <f t="shared" si="26"/>
        <v>19233.906114727866</v>
      </c>
      <c r="N125">
        <f t="shared" si="27"/>
        <v>19422.306092680239</v>
      </c>
      <c r="O125">
        <f t="shared" si="16"/>
        <v>-8.9690910496368792E-2</v>
      </c>
      <c r="P125">
        <f t="shared" si="17"/>
        <v>-4.8827842852341541E-2</v>
      </c>
      <c r="Q125">
        <f t="shared" si="18"/>
        <v>-9.7001858097260918E-3</v>
      </c>
    </row>
    <row r="126" spans="1:17" x14ac:dyDescent="0.2">
      <c r="A126" s="4">
        <v>43952</v>
      </c>
      <c r="B126" s="2">
        <v>141.44</v>
      </c>
      <c r="C126" s="2">
        <v>74.180000000000007</v>
      </c>
      <c r="D126" s="3">
        <f t="shared" si="19"/>
        <v>5.3949329359165521E-2</v>
      </c>
      <c r="E126" s="3">
        <f t="shared" si="20"/>
        <v>6.9227636758517619E-3</v>
      </c>
      <c r="F126">
        <f t="shared" si="21"/>
        <v>4.9246672790834146E-2</v>
      </c>
      <c r="G126">
        <f t="shared" si="15"/>
        <v>3.5138703085840016E-2</v>
      </c>
      <c r="H126">
        <f t="shared" si="22"/>
        <v>2.1030733380845889E-2</v>
      </c>
      <c r="I126">
        <f t="shared" si="28"/>
        <v>32063.809614765625</v>
      </c>
      <c r="J126">
        <f t="shared" si="23"/>
        <v>33569.791294137154</v>
      </c>
      <c r="K126">
        <f t="shared" si="24"/>
        <v>25369.611909249517</v>
      </c>
      <c r="L126">
        <f t="shared" si="25"/>
        <v>25766.542581951915</v>
      </c>
      <c r="M126">
        <f t="shared" si="26"/>
        <v>19638.40926609893</v>
      </c>
      <c r="N126">
        <f t="shared" si="27"/>
        <v>19638.40926609893</v>
      </c>
      <c r="O126">
        <f t="shared" si="16"/>
        <v>-4.486121662706144E-2</v>
      </c>
      <c r="P126">
        <f t="shared" si="17"/>
        <v>-1.5404886838811915E-2</v>
      </c>
      <c r="Q126">
        <f t="shared" si="18"/>
        <v>0</v>
      </c>
    </row>
    <row r="127" spans="1:17" x14ac:dyDescent="0.2">
      <c r="A127" s="4">
        <v>43983</v>
      </c>
      <c r="B127" s="2">
        <v>144.03</v>
      </c>
      <c r="C127" s="2">
        <v>74.680000000000007</v>
      </c>
      <c r="D127" s="3">
        <f t="shared" si="19"/>
        <v>1.8311651583710509E-2</v>
      </c>
      <c r="E127" s="3">
        <f t="shared" si="20"/>
        <v>6.7403612833647486E-3</v>
      </c>
      <c r="F127">
        <f t="shared" si="21"/>
        <v>1.7154522553675933E-2</v>
      </c>
      <c r="G127">
        <f t="shared" si="15"/>
        <v>1.3683135463572204E-2</v>
      </c>
      <c r="H127">
        <f t="shared" si="22"/>
        <v>1.0211748373468475E-2</v>
      </c>
      <c r="I127">
        <f t="shared" si="28"/>
        <v>32613.848959958894</v>
      </c>
      <c r="J127">
        <f t="shared" si="23"/>
        <v>33569.791294137154</v>
      </c>
      <c r="K127">
        <f t="shared" si="24"/>
        <v>25716.747745662033</v>
      </c>
      <c r="L127">
        <f t="shared" si="25"/>
        <v>25766.542581951915</v>
      </c>
      <c r="M127">
        <f t="shared" si="26"/>
        <v>19838.951759979525</v>
      </c>
      <c r="N127">
        <f t="shared" si="27"/>
        <v>19838.951759979525</v>
      </c>
      <c r="O127">
        <f t="shared" si="16"/>
        <v>-2.8476266825799734E-2</v>
      </c>
      <c r="P127">
        <f t="shared" si="17"/>
        <v>-1.9325385286561581E-3</v>
      </c>
      <c r="Q127">
        <f t="shared" si="18"/>
        <v>0</v>
      </c>
    </row>
    <row r="128" spans="1:17" x14ac:dyDescent="0.2">
      <c r="A128" s="4">
        <v>44013</v>
      </c>
      <c r="B128" s="2">
        <v>153</v>
      </c>
      <c r="C128" s="2">
        <v>75.78</v>
      </c>
      <c r="D128" s="3">
        <f t="shared" si="19"/>
        <v>6.2278691939179343E-2</v>
      </c>
      <c r="E128" s="3">
        <f t="shared" si="20"/>
        <v>1.4729512587037918E-2</v>
      </c>
      <c r="F128">
        <f t="shared" si="21"/>
        <v>5.7523774003965203E-2</v>
      </c>
      <c r="G128">
        <f t="shared" si="15"/>
        <v>4.325902019832277E-2</v>
      </c>
      <c r="H128">
        <f t="shared" si="22"/>
        <v>2.8994266392680344E-2</v>
      </c>
      <c r="I128">
        <f t="shared" si="28"/>
        <v>34489.92063693102</v>
      </c>
      <c r="J128">
        <f t="shared" si="23"/>
        <v>34489.92063693102</v>
      </c>
      <c r="K128">
        <f t="shared" si="24"/>
        <v>26829.229055826796</v>
      </c>
      <c r="L128">
        <f t="shared" si="25"/>
        <v>26829.229055826796</v>
      </c>
      <c r="M128">
        <f t="shared" si="26"/>
        <v>20414.167612259906</v>
      </c>
      <c r="N128">
        <f t="shared" si="27"/>
        <v>20414.167612259906</v>
      </c>
      <c r="O128">
        <f t="shared" si="16"/>
        <v>0</v>
      </c>
      <c r="P128">
        <f t="shared" si="17"/>
        <v>0</v>
      </c>
      <c r="Q128">
        <f t="shared" si="18"/>
        <v>0</v>
      </c>
    </row>
    <row r="129" spans="1:17" x14ac:dyDescent="0.2">
      <c r="A129" s="4">
        <v>44044</v>
      </c>
      <c r="B129" s="2">
        <v>163.87</v>
      </c>
      <c r="C129" s="2">
        <v>75.069999999999993</v>
      </c>
      <c r="D129" s="3">
        <f t="shared" si="19"/>
        <v>7.1045751633986853E-2</v>
      </c>
      <c r="E129" s="3">
        <f t="shared" si="20"/>
        <v>-9.3692267088942849E-3</v>
      </c>
      <c r="F129">
        <f t="shared" si="21"/>
        <v>6.3004253799698734E-2</v>
      </c>
      <c r="G129">
        <f t="shared" si="15"/>
        <v>3.8879760296834397E-2</v>
      </c>
      <c r="H129">
        <f t="shared" si="22"/>
        <v>1.4755266793970056E-2</v>
      </c>
      <c r="I129">
        <f t="shared" si="28"/>
        <v>36662.932350271687</v>
      </c>
      <c r="J129">
        <f t="shared" si="23"/>
        <v>36662.932350271687</v>
      </c>
      <c r="K129">
        <f t="shared" si="24"/>
        <v>27872.34305046621</v>
      </c>
      <c r="L129">
        <f t="shared" si="25"/>
        <v>27872.34305046621</v>
      </c>
      <c r="M129">
        <f t="shared" si="26"/>
        <v>20715.384101755622</v>
      </c>
      <c r="N129">
        <f t="shared" si="27"/>
        <v>20715.384101755622</v>
      </c>
      <c r="O129">
        <f t="shared" si="16"/>
        <v>0</v>
      </c>
      <c r="P129">
        <f t="shared" si="17"/>
        <v>0</v>
      </c>
      <c r="Q129">
        <f t="shared" si="18"/>
        <v>0</v>
      </c>
    </row>
    <row r="130" spans="1:17" x14ac:dyDescent="0.2">
      <c r="A130" s="4">
        <v>44075</v>
      </c>
      <c r="B130" s="2">
        <v>157.43</v>
      </c>
      <c r="C130" s="2">
        <v>75</v>
      </c>
      <c r="D130" s="3">
        <f t="shared" si="19"/>
        <v>-3.9299444681759943E-2</v>
      </c>
      <c r="E130" s="3">
        <f t="shared" si="20"/>
        <v>-9.3246303450100765E-4</v>
      </c>
      <c r="F130">
        <f t="shared" si="21"/>
        <v>-3.5462746517034051E-2</v>
      </c>
      <c r="G130">
        <f t="shared" si="15"/>
        <v>-2.3952652022856367E-2</v>
      </c>
      <c r="H130">
        <f t="shared" si="22"/>
        <v>-1.2442557528678688E-2</v>
      </c>
      <c r="I130">
        <f t="shared" si="28"/>
        <v>35362.764073762832</v>
      </c>
      <c r="J130">
        <f t="shared" si="23"/>
        <v>36662.932350271687</v>
      </c>
      <c r="K130">
        <f t="shared" si="24"/>
        <v>27204.726516316714</v>
      </c>
      <c r="L130">
        <f t="shared" si="25"/>
        <v>27872.34305046621</v>
      </c>
      <c r="M130">
        <f t="shared" si="26"/>
        <v>20457.631743340851</v>
      </c>
      <c r="N130">
        <f t="shared" si="27"/>
        <v>20715.384101755622</v>
      </c>
      <c r="O130">
        <f t="shared" si="16"/>
        <v>-3.5462746517034183E-2</v>
      </c>
      <c r="P130">
        <f t="shared" si="17"/>
        <v>-2.3952652022856347E-2</v>
      </c>
      <c r="Q130">
        <f t="shared" si="18"/>
        <v>-1.2442557528678733E-2</v>
      </c>
    </row>
    <row r="131" spans="1:17" x14ac:dyDescent="0.2">
      <c r="A131" s="4">
        <v>44105</v>
      </c>
      <c r="B131" s="2">
        <v>154.99</v>
      </c>
      <c r="C131" s="2">
        <v>74.58</v>
      </c>
      <c r="D131" s="3">
        <f t="shared" si="19"/>
        <v>-1.5498951915136838E-2</v>
      </c>
      <c r="E131" s="3">
        <f t="shared" si="20"/>
        <v>-5.6000000000000494E-3</v>
      </c>
      <c r="F131">
        <f t="shared" si="21"/>
        <v>-1.4509056723623159E-2</v>
      </c>
      <c r="G131">
        <f t="shared" ref="G131:G193" si="29">0.6*D131+0.4*E131</f>
        <v>-1.1539371149082123E-2</v>
      </c>
      <c r="H131">
        <f t="shared" si="22"/>
        <v>-8.5696855745410853E-3</v>
      </c>
      <c r="I131">
        <f t="shared" si="28"/>
        <v>34849.683723912502</v>
      </c>
      <c r="J131">
        <f t="shared" si="23"/>
        <v>36662.932350271687</v>
      </c>
      <c r="K131">
        <f t="shared" si="24"/>
        <v>26890.801080035661</v>
      </c>
      <c r="L131">
        <f t="shared" si="25"/>
        <v>27872.34305046621</v>
      </c>
      <c r="M131">
        <f t="shared" si="26"/>
        <v>20282.316271700671</v>
      </c>
      <c r="N131">
        <f t="shared" si="27"/>
        <v>20715.384101755622</v>
      </c>
      <c r="O131">
        <f t="shared" ref="O131:O193" si="30">(I131/J131)-1</f>
        <v>-4.9457272239866179E-2</v>
      </c>
      <c r="P131">
        <f t="shared" ref="P131:P193" si="31">(K131/L131)-1</f>
        <v>-3.521562463024186E-2</v>
      </c>
      <c r="Q131">
        <f t="shared" ref="Q131:Q193" si="32">(M131/N131)-1</f>
        <v>-2.0905614297455855E-2</v>
      </c>
    </row>
    <row r="132" spans="1:17" x14ac:dyDescent="0.2">
      <c r="A132" s="4">
        <v>44136</v>
      </c>
      <c r="B132" s="2">
        <v>173.29</v>
      </c>
      <c r="C132" s="2">
        <v>75.489999999999995</v>
      </c>
      <c r="D132" s="3">
        <f t="shared" ref="D132:D193" si="33">B132/B131-1</f>
        <v>0.11807213368604419</v>
      </c>
      <c r="E132" s="3">
        <f t="shared" ref="E132:E193" si="34">C132/C131-1</f>
        <v>1.2201662644140576E-2</v>
      </c>
      <c r="F132">
        <f t="shared" ref="F132:F193" si="35">0.9*D132+0.1*E132</f>
        <v>0.10748508658185382</v>
      </c>
      <c r="G132">
        <f t="shared" si="29"/>
        <v>7.572394526928275E-2</v>
      </c>
      <c r="H132">
        <f t="shared" ref="H132:H193" si="36">0.3*D132+0.7*E132</f>
        <v>4.3962803956711663E-2</v>
      </c>
      <c r="I132">
        <f t="shared" si="28"/>
        <v>38595.504996327458</v>
      </c>
      <c r="J132">
        <f t="shared" ref="J132:J193" si="37">MAX(J131,I132)</f>
        <v>38595.504996327458</v>
      </c>
      <c r="K132">
        <f t="shared" ref="K132:K193" si="38">K131*(1+G132)</f>
        <v>28927.078629267453</v>
      </c>
      <c r="L132">
        <f t="shared" ref="L132:L193" si="39">MAX(L131,K132)</f>
        <v>28927.078629267453</v>
      </c>
      <c r="M132">
        <f t="shared" ref="M132:M191" si="40">M131*(1+H132)</f>
        <v>21173.983765741472</v>
      </c>
      <c r="N132">
        <f t="shared" ref="N132:N193" si="41">MAX(N131,M132)</f>
        <v>21173.983765741472</v>
      </c>
      <c r="O132">
        <f t="shared" si="30"/>
        <v>0</v>
      </c>
      <c r="P132">
        <f t="shared" si="31"/>
        <v>0</v>
      </c>
      <c r="Q132">
        <f t="shared" si="32"/>
        <v>0</v>
      </c>
    </row>
    <row r="133" spans="1:17" x14ac:dyDescent="0.2">
      <c r="A133" s="4">
        <v>44166</v>
      </c>
      <c r="B133" s="2">
        <v>180.66</v>
      </c>
      <c r="C133" s="2">
        <v>75.36</v>
      </c>
      <c r="D133" s="3">
        <f t="shared" si="33"/>
        <v>4.2529863235039489E-2</v>
      </c>
      <c r="E133" s="3">
        <f t="shared" si="34"/>
        <v>-1.7220823950191422E-3</v>
      </c>
      <c r="F133">
        <f t="shared" si="35"/>
        <v>3.8104668672033631E-2</v>
      </c>
      <c r="G133">
        <f t="shared" si="29"/>
        <v>2.4829084983016038E-2</v>
      </c>
      <c r="H133">
        <f t="shared" si="36"/>
        <v>1.1553501293998448E-2</v>
      </c>
      <c r="I133">
        <f t="shared" si="28"/>
        <v>40066.173926442338</v>
      </c>
      <c r="J133">
        <f t="shared" si="37"/>
        <v>40066.173926442338</v>
      </c>
      <c r="K133">
        <f t="shared" si="38"/>
        <v>29645.311522863918</v>
      </c>
      <c r="L133">
        <f t="shared" si="39"/>
        <v>29645.311522863918</v>
      </c>
      <c r="M133">
        <f t="shared" si="40"/>
        <v>21418.617414578068</v>
      </c>
      <c r="N133">
        <f t="shared" si="41"/>
        <v>21418.617414578068</v>
      </c>
      <c r="O133">
        <f t="shared" si="30"/>
        <v>0</v>
      </c>
      <c r="P133">
        <f t="shared" si="31"/>
        <v>0</v>
      </c>
      <c r="Q133">
        <f t="shared" si="32"/>
        <v>0</v>
      </c>
    </row>
    <row r="134" spans="1:17" x14ac:dyDescent="0.2">
      <c r="A134" s="4">
        <v>44197</v>
      </c>
      <c r="B134" s="2">
        <v>180.78</v>
      </c>
      <c r="C134" s="2">
        <v>75.08</v>
      </c>
      <c r="D134" s="3">
        <f t="shared" si="33"/>
        <v>6.6423115244096387E-4</v>
      </c>
      <c r="E134" s="3">
        <f t="shared" si="34"/>
        <v>-3.7154989384289294E-3</v>
      </c>
      <c r="F134">
        <f t="shared" si="35"/>
        <v>2.2625814335397448E-4</v>
      </c>
      <c r="G134">
        <f t="shared" si="29"/>
        <v>-1.0876608839069937E-3</v>
      </c>
      <c r="H134">
        <f t="shared" si="36"/>
        <v>-2.401579911167961E-3</v>
      </c>
      <c r="I134">
        <f t="shared" ref="I134:I193" si="42">I133*(1+F134)</f>
        <v>40075.239224566227</v>
      </c>
      <c r="J134">
        <f t="shared" si="37"/>
        <v>40075.239224566227</v>
      </c>
      <c r="K134">
        <f t="shared" si="38"/>
        <v>29613.067477129262</v>
      </c>
      <c r="L134">
        <f t="shared" si="39"/>
        <v>29645.311522863918</v>
      </c>
      <c r="M134">
        <f t="shared" si="40"/>
        <v>21367.178893270226</v>
      </c>
      <c r="N134">
        <f t="shared" si="41"/>
        <v>21418.617414578068</v>
      </c>
      <c r="O134">
        <f t="shared" si="30"/>
        <v>0</v>
      </c>
      <c r="P134">
        <f t="shared" si="31"/>
        <v>-1.0876608839069934E-3</v>
      </c>
      <c r="Q134">
        <f t="shared" si="32"/>
        <v>-2.4015799111679614E-3</v>
      </c>
    </row>
    <row r="135" spans="1:17" x14ac:dyDescent="0.2">
      <c r="A135" s="4">
        <v>44228</v>
      </c>
      <c r="B135" s="2">
        <v>186.46</v>
      </c>
      <c r="C135" s="2">
        <v>73.8</v>
      </c>
      <c r="D135" s="3">
        <f t="shared" si="33"/>
        <v>3.1419404801416029E-2</v>
      </c>
      <c r="E135" s="3">
        <f t="shared" si="34"/>
        <v>-1.7048481619605815E-2</v>
      </c>
      <c r="F135">
        <f t="shared" si="35"/>
        <v>2.6572616159313844E-2</v>
      </c>
      <c r="G135">
        <f t="shared" si="29"/>
        <v>1.2032250233007292E-2</v>
      </c>
      <c r="H135">
        <f t="shared" si="36"/>
        <v>-2.5081156932992617E-3</v>
      </c>
      <c r="I135">
        <f t="shared" si="42"/>
        <v>41140.143173973302</v>
      </c>
      <c r="J135">
        <f t="shared" si="37"/>
        <v>41140.143173973302</v>
      </c>
      <c r="K135">
        <f t="shared" si="38"/>
        <v>29969.37931518101</v>
      </c>
      <c r="L135">
        <f t="shared" si="39"/>
        <v>29969.37931518101</v>
      </c>
      <c r="M135">
        <f t="shared" si="40"/>
        <v>21313.587536566483</v>
      </c>
      <c r="N135">
        <f t="shared" si="41"/>
        <v>21418.617414578068</v>
      </c>
      <c r="O135">
        <f t="shared" si="30"/>
        <v>0</v>
      </c>
      <c r="P135">
        <f t="shared" si="31"/>
        <v>0</v>
      </c>
      <c r="Q135">
        <f t="shared" si="32"/>
        <v>-4.9036721642031766E-3</v>
      </c>
    </row>
    <row r="136" spans="1:17" x14ac:dyDescent="0.2">
      <c r="A136" s="4">
        <v>44256</v>
      </c>
      <c r="B136" s="2">
        <v>192.62</v>
      </c>
      <c r="C136" s="2">
        <v>72.87</v>
      </c>
      <c r="D136" s="3">
        <f t="shared" si="33"/>
        <v>3.3036576209374724E-2</v>
      </c>
      <c r="E136" s="3">
        <f t="shared" si="34"/>
        <v>-1.2601626016260026E-2</v>
      </c>
      <c r="F136">
        <f t="shared" si="35"/>
        <v>2.847275598681125E-2</v>
      </c>
      <c r="G136">
        <f t="shared" si="29"/>
        <v>1.4781295319120823E-2</v>
      </c>
      <c r="H136">
        <f t="shared" si="36"/>
        <v>1.0898346514304005E-3</v>
      </c>
      <c r="I136">
        <f t="shared" si="42"/>
        <v>42311.51643182832</v>
      </c>
      <c r="J136">
        <f t="shared" si="37"/>
        <v>42311.51643182832</v>
      </c>
      <c r="K136">
        <f t="shared" si="38"/>
        <v>30412.365561369454</v>
      </c>
      <c r="L136">
        <f t="shared" si="39"/>
        <v>30412.365561369454</v>
      </c>
      <c r="M136">
        <f t="shared" si="40"/>
        <v>21336.815822810127</v>
      </c>
      <c r="N136">
        <f t="shared" si="41"/>
        <v>21418.617414578068</v>
      </c>
      <c r="O136">
        <f t="shared" si="30"/>
        <v>0</v>
      </c>
      <c r="P136">
        <f t="shared" si="31"/>
        <v>0</v>
      </c>
      <c r="Q136">
        <f t="shared" si="32"/>
        <v>-3.8191817046167031E-3</v>
      </c>
    </row>
    <row r="137" spans="1:17" x14ac:dyDescent="0.2">
      <c r="A137" s="4">
        <v>44287</v>
      </c>
      <c r="B137" s="2">
        <v>203</v>
      </c>
      <c r="C137" s="2">
        <v>73.44</v>
      </c>
      <c r="D137" s="3">
        <f t="shared" si="33"/>
        <v>5.3888485100197281E-2</v>
      </c>
      <c r="E137" s="3">
        <f t="shared" si="34"/>
        <v>7.8221490325236509E-3</v>
      </c>
      <c r="F137">
        <f t="shared" si="35"/>
        <v>4.9281851493429916E-2</v>
      </c>
      <c r="G137">
        <f t="shared" si="29"/>
        <v>3.546195067312783E-2</v>
      </c>
      <c r="H137">
        <f t="shared" si="36"/>
        <v>2.1642049852825741E-2</v>
      </c>
      <c r="I137">
        <f t="shared" si="42"/>
        <v>44396.706301083505</v>
      </c>
      <c r="J137">
        <f t="shared" si="37"/>
        <v>44396.706301083505</v>
      </c>
      <c r="K137">
        <f t="shared" si="38"/>
        <v>31490.847368759867</v>
      </c>
      <c r="L137">
        <f t="shared" si="39"/>
        <v>31490.847368759867</v>
      </c>
      <c r="M137">
        <f t="shared" si="40"/>
        <v>21798.588254547947</v>
      </c>
      <c r="N137">
        <f t="shared" si="41"/>
        <v>21798.588254547947</v>
      </c>
      <c r="O137">
        <f t="shared" si="30"/>
        <v>0</v>
      </c>
      <c r="P137">
        <f t="shared" si="31"/>
        <v>0</v>
      </c>
      <c r="Q137">
        <f t="shared" si="32"/>
        <v>0</v>
      </c>
    </row>
    <row r="138" spans="1:17" x14ac:dyDescent="0.2">
      <c r="A138" s="4">
        <v>44317</v>
      </c>
      <c r="B138" s="2">
        <v>203.92</v>
      </c>
      <c r="C138" s="2">
        <v>73.61</v>
      </c>
      <c r="D138" s="3">
        <f t="shared" si="33"/>
        <v>4.5320197044333987E-3</v>
      </c>
      <c r="E138" s="3">
        <f t="shared" si="34"/>
        <v>2.3148148148148806E-3</v>
      </c>
      <c r="F138">
        <f t="shared" si="35"/>
        <v>4.3102992154715469E-3</v>
      </c>
      <c r="G138">
        <f t="shared" si="29"/>
        <v>3.6451377485859915E-3</v>
      </c>
      <c r="H138">
        <f t="shared" si="36"/>
        <v>2.979976281700436E-3</v>
      </c>
      <c r="I138">
        <f t="shared" si="42"/>
        <v>44588.069389422584</v>
      </c>
      <c r="J138">
        <f t="shared" si="37"/>
        <v>44588.069389422584</v>
      </c>
      <c r="K138">
        <f t="shared" si="38"/>
        <v>31605.635845238692</v>
      </c>
      <c r="L138">
        <f t="shared" si="39"/>
        <v>31605.635845238692</v>
      </c>
      <c r="M138">
        <f t="shared" si="40"/>
        <v>21863.547530521053</v>
      </c>
      <c r="N138">
        <f t="shared" si="41"/>
        <v>21863.547530521053</v>
      </c>
      <c r="O138">
        <f t="shared" si="30"/>
        <v>0</v>
      </c>
      <c r="P138">
        <f t="shared" si="31"/>
        <v>0</v>
      </c>
      <c r="Q138">
        <f t="shared" si="32"/>
        <v>0</v>
      </c>
    </row>
    <row r="139" spans="1:17" x14ac:dyDescent="0.2">
      <c r="A139" s="4">
        <v>44348</v>
      </c>
      <c r="B139" s="2">
        <v>208.34</v>
      </c>
      <c r="C139" s="2">
        <v>74.27</v>
      </c>
      <c r="D139" s="3">
        <f t="shared" si="33"/>
        <v>2.1675166732051832E-2</v>
      </c>
      <c r="E139" s="3">
        <f t="shared" si="34"/>
        <v>8.9661730743104684E-3</v>
      </c>
      <c r="F139">
        <f t="shared" si="35"/>
        <v>2.0404267366277696E-2</v>
      </c>
      <c r="G139">
        <f t="shared" si="29"/>
        <v>1.6591569268955286E-2</v>
      </c>
      <c r="H139">
        <f t="shared" si="36"/>
        <v>1.2778871171632875E-2</v>
      </c>
      <c r="I139">
        <f t="shared" si="42"/>
        <v>45497.856278590501</v>
      </c>
      <c r="J139">
        <f t="shared" si="37"/>
        <v>45497.856278590501</v>
      </c>
      <c r="K139">
        <f t="shared" si="38"/>
        <v>32130.022941654348</v>
      </c>
      <c r="L139">
        <f t="shared" si="39"/>
        <v>32130.022941654348</v>
      </c>
      <c r="M139">
        <f t="shared" si="40"/>
        <v>22142.938987768452</v>
      </c>
      <c r="N139">
        <f t="shared" si="41"/>
        <v>22142.938987768452</v>
      </c>
      <c r="O139">
        <f t="shared" si="30"/>
        <v>0</v>
      </c>
      <c r="P139">
        <f t="shared" si="31"/>
        <v>0</v>
      </c>
      <c r="Q139">
        <f t="shared" si="32"/>
        <v>0</v>
      </c>
    </row>
    <row r="140" spans="1:17" x14ac:dyDescent="0.2">
      <c r="A140" s="4">
        <v>44378</v>
      </c>
      <c r="B140" s="2">
        <v>212.61</v>
      </c>
      <c r="C140" s="2">
        <v>75.14</v>
      </c>
      <c r="D140" s="3">
        <f t="shared" si="33"/>
        <v>2.0495344148987238E-2</v>
      </c>
      <c r="E140" s="3">
        <f t="shared" si="34"/>
        <v>1.1714016426551899E-2</v>
      </c>
      <c r="F140">
        <f t="shared" si="35"/>
        <v>1.9617211376743705E-2</v>
      </c>
      <c r="G140">
        <f t="shared" si="29"/>
        <v>1.6982813060013102E-2</v>
      </c>
      <c r="H140">
        <f t="shared" si="36"/>
        <v>1.4348414743282498E-2</v>
      </c>
      <c r="I140">
        <f t="shared" si="42"/>
        <v>46390.397342396318</v>
      </c>
      <c r="J140">
        <f t="shared" si="37"/>
        <v>46390.397342396318</v>
      </c>
      <c r="K140">
        <f t="shared" si="38"/>
        <v>32675.681114886396</v>
      </c>
      <c r="L140">
        <f t="shared" si="39"/>
        <v>32675.681114886396</v>
      </c>
      <c r="M140">
        <f t="shared" si="40"/>
        <v>22460.65506000015</v>
      </c>
      <c r="N140">
        <f t="shared" si="41"/>
        <v>22460.65506000015</v>
      </c>
      <c r="O140">
        <f t="shared" si="30"/>
        <v>0</v>
      </c>
      <c r="P140">
        <f t="shared" si="31"/>
        <v>0</v>
      </c>
      <c r="Q140">
        <f t="shared" si="32"/>
        <v>0</v>
      </c>
    </row>
    <row r="141" spans="1:17" x14ac:dyDescent="0.2">
      <c r="A141" s="4">
        <v>44409</v>
      </c>
      <c r="B141" s="2">
        <v>218.69</v>
      </c>
      <c r="C141" s="2">
        <v>74.989999999999995</v>
      </c>
      <c r="D141" s="3">
        <f t="shared" si="33"/>
        <v>2.8596961572832758E-2</v>
      </c>
      <c r="E141" s="3">
        <f t="shared" si="34"/>
        <v>-1.9962736225712652E-3</v>
      </c>
      <c r="F141">
        <f t="shared" si="35"/>
        <v>2.5537638053292355E-2</v>
      </c>
      <c r="G141">
        <f t="shared" si="29"/>
        <v>1.6359667494671149E-2</v>
      </c>
      <c r="H141">
        <f t="shared" si="36"/>
        <v>7.1816969360499411E-3</v>
      </c>
      <c r="I141">
        <f t="shared" si="42"/>
        <v>47575.098518874853</v>
      </c>
      <c r="J141">
        <f t="shared" si="37"/>
        <v>47575.098518874853</v>
      </c>
      <c r="K141">
        <f t="shared" si="38"/>
        <v>33210.244393087843</v>
      </c>
      <c r="L141">
        <f t="shared" si="39"/>
        <v>33210.244393087843</v>
      </c>
      <c r="M141">
        <f t="shared" si="40"/>
        <v>22621.960677626226</v>
      </c>
      <c r="N141">
        <f t="shared" si="41"/>
        <v>22621.960677626226</v>
      </c>
      <c r="O141">
        <f t="shared" si="30"/>
        <v>0</v>
      </c>
      <c r="P141">
        <f t="shared" si="31"/>
        <v>0</v>
      </c>
      <c r="Q141">
        <f t="shared" si="32"/>
        <v>0</v>
      </c>
    </row>
    <row r="142" spans="1:17" x14ac:dyDescent="0.2">
      <c r="A142" s="4">
        <v>44440</v>
      </c>
      <c r="B142" s="2">
        <v>208.27</v>
      </c>
      <c r="C142" s="2">
        <v>74.23</v>
      </c>
      <c r="D142" s="3">
        <f t="shared" si="33"/>
        <v>-4.7647354703004186E-2</v>
      </c>
      <c r="E142" s="3">
        <f t="shared" si="34"/>
        <v>-1.013468462461653E-2</v>
      </c>
      <c r="F142">
        <f t="shared" si="35"/>
        <v>-4.3896087695165426E-2</v>
      </c>
      <c r="G142">
        <f t="shared" si="29"/>
        <v>-3.2642286671649118E-2</v>
      </c>
      <c r="H142">
        <f t="shared" si="36"/>
        <v>-2.1388485648132824E-2</v>
      </c>
      <c r="I142">
        <f t="shared" si="42"/>
        <v>45486.737822184186</v>
      </c>
      <c r="J142">
        <f t="shared" si="37"/>
        <v>47575.098518874853</v>
      </c>
      <c r="K142">
        <f t="shared" si="38"/>
        <v>32126.18607517314</v>
      </c>
      <c r="L142">
        <f t="shared" si="39"/>
        <v>33210.244393087843</v>
      </c>
      <c r="M142">
        <f t="shared" si="40"/>
        <v>22138.111196340193</v>
      </c>
      <c r="N142">
        <f t="shared" si="41"/>
        <v>22621.960677626226</v>
      </c>
      <c r="O142">
        <f t="shared" si="30"/>
        <v>-4.3896087695165398E-2</v>
      </c>
      <c r="P142">
        <f t="shared" si="31"/>
        <v>-3.2642286671649146E-2</v>
      </c>
      <c r="Q142">
        <f t="shared" si="32"/>
        <v>-2.1388485648132782E-2</v>
      </c>
    </row>
    <row r="143" spans="1:17" x14ac:dyDescent="0.2">
      <c r="A143" s="4">
        <v>44470</v>
      </c>
      <c r="B143" s="2">
        <v>222.9</v>
      </c>
      <c r="C143" s="2">
        <v>74.290000000000006</v>
      </c>
      <c r="D143" s="3">
        <f t="shared" si="33"/>
        <v>7.0245354587794573E-2</v>
      </c>
      <c r="E143" s="3">
        <f t="shared" si="34"/>
        <v>8.0829853159092302E-4</v>
      </c>
      <c r="F143">
        <f t="shared" si="35"/>
        <v>6.3301648982174205E-2</v>
      </c>
      <c r="G143">
        <f t="shared" si="29"/>
        <v>4.2470532165313116E-2</v>
      </c>
      <c r="H143">
        <f t="shared" si="36"/>
        <v>2.1639415348452019E-2</v>
      </c>
      <c r="I143">
        <f t="shared" si="42"/>
        <v>48366.12333314828</v>
      </c>
      <c r="J143">
        <f t="shared" si="37"/>
        <v>48366.12333314828</v>
      </c>
      <c r="K143">
        <f t="shared" si="38"/>
        <v>33490.602294227618</v>
      </c>
      <c r="L143">
        <f t="shared" si="39"/>
        <v>33490.602294227618</v>
      </c>
      <c r="M143">
        <f t="shared" si="40"/>
        <v>22617.166979548016</v>
      </c>
      <c r="N143">
        <f t="shared" si="41"/>
        <v>22621.960677626226</v>
      </c>
      <c r="O143">
        <f t="shared" si="30"/>
        <v>0</v>
      </c>
      <c r="P143">
        <f t="shared" si="31"/>
        <v>0</v>
      </c>
      <c r="Q143">
        <f t="shared" si="32"/>
        <v>-2.119046242951006E-4</v>
      </c>
    </row>
    <row r="144" spans="1:17" x14ac:dyDescent="0.2">
      <c r="A144" s="4">
        <v>44501</v>
      </c>
      <c r="B144" s="2">
        <v>219.64</v>
      </c>
      <c r="C144" s="2">
        <v>74.44</v>
      </c>
      <c r="D144" s="3">
        <f t="shared" si="33"/>
        <v>-1.4625392552714334E-2</v>
      </c>
      <c r="E144" s="3">
        <f t="shared" si="34"/>
        <v>2.019114281868184E-3</v>
      </c>
      <c r="F144">
        <f t="shared" si="35"/>
        <v>-1.2960941869256082E-2</v>
      </c>
      <c r="G144">
        <f t="shared" si="29"/>
        <v>-7.9675898188813262E-3</v>
      </c>
      <c r="H144">
        <f t="shared" si="36"/>
        <v>-2.9742377685065711E-3</v>
      </c>
      <c r="I144">
        <f t="shared" si="42"/>
        <v>47739.252820186077</v>
      </c>
      <c r="J144">
        <f t="shared" si="37"/>
        <v>48366.12333314828</v>
      </c>
      <c r="K144">
        <f t="shared" si="38"/>
        <v>33223.762912359925</v>
      </c>
      <c r="L144">
        <f t="shared" si="39"/>
        <v>33490.602294227618</v>
      </c>
      <c r="M144">
        <f t="shared" si="40"/>
        <v>22549.898147300824</v>
      </c>
      <c r="N144">
        <f t="shared" si="41"/>
        <v>22621.960677626226</v>
      </c>
      <c r="O144">
        <f t="shared" si="30"/>
        <v>-1.2960941869256004E-2</v>
      </c>
      <c r="P144">
        <f t="shared" si="31"/>
        <v>-7.9675898188813488E-3</v>
      </c>
      <c r="Q144">
        <f t="shared" si="32"/>
        <v>-3.1855121380647278E-3</v>
      </c>
    </row>
    <row r="145" spans="1:17" x14ac:dyDescent="0.2">
      <c r="A145" s="4">
        <v>44531</v>
      </c>
      <c r="B145" s="2">
        <v>227.16</v>
      </c>
      <c r="C145" s="2">
        <v>73.97</v>
      </c>
      <c r="D145" s="3">
        <f t="shared" si="33"/>
        <v>3.4237843744308938E-2</v>
      </c>
      <c r="E145" s="3">
        <f t="shared" si="34"/>
        <v>-6.3138097796883175E-3</v>
      </c>
      <c r="F145">
        <f t="shared" si="35"/>
        <v>3.0182678391909214E-2</v>
      </c>
      <c r="G145">
        <f t="shared" si="29"/>
        <v>1.8017182334710034E-2</v>
      </c>
      <c r="H145">
        <f t="shared" si="36"/>
        <v>5.8516862775108581E-3</v>
      </c>
      <c r="I145">
        <f t="shared" si="42"/>
        <v>49180.151334727801</v>
      </c>
      <c r="J145">
        <f t="shared" si="37"/>
        <v>49180.151334727801</v>
      </c>
      <c r="K145">
        <f t="shared" si="38"/>
        <v>33822.361506597088</v>
      </c>
      <c r="L145">
        <f t="shared" si="39"/>
        <v>33822.361506597088</v>
      </c>
      <c r="M145">
        <f t="shared" si="40"/>
        <v>22681.853076848653</v>
      </c>
      <c r="N145">
        <f t="shared" si="41"/>
        <v>22681.853076848653</v>
      </c>
      <c r="O145">
        <f t="shared" si="30"/>
        <v>0</v>
      </c>
      <c r="P145">
        <f t="shared" si="31"/>
        <v>0</v>
      </c>
      <c r="Q145">
        <f t="shared" si="32"/>
        <v>0</v>
      </c>
    </row>
    <row r="146" spans="1:17" x14ac:dyDescent="0.2">
      <c r="A146" s="4">
        <v>44562</v>
      </c>
      <c r="B146" s="2">
        <v>214.16</v>
      </c>
      <c r="C146" s="2">
        <v>72.790000000000006</v>
      </c>
      <c r="D146" s="3">
        <f t="shared" si="33"/>
        <v>-5.7228385279098459E-2</v>
      </c>
      <c r="E146" s="3">
        <f t="shared" si="34"/>
        <v>-1.5952413140462252E-2</v>
      </c>
      <c r="F146">
        <f t="shared" si="35"/>
        <v>-5.3100788065234841E-2</v>
      </c>
      <c r="G146">
        <f t="shared" si="29"/>
        <v>-4.0717996423643973E-2</v>
      </c>
      <c r="H146">
        <f t="shared" si="36"/>
        <v>-2.8335204782053112E-2</v>
      </c>
      <c r="I146">
        <f t="shared" si="42"/>
        <v>46568.646541686241</v>
      </c>
      <c r="J146">
        <f t="shared" si="37"/>
        <v>49180.151334727801</v>
      </c>
      <c r="K146">
        <f t="shared" si="38"/>
        <v>32445.182711732275</v>
      </c>
      <c r="L146">
        <f t="shared" si="39"/>
        <v>33822.361506597088</v>
      </c>
      <c r="M146">
        <f t="shared" si="40"/>
        <v>22039.158125079706</v>
      </c>
      <c r="N146">
        <f t="shared" si="41"/>
        <v>22681.853076848653</v>
      </c>
      <c r="O146">
        <f t="shared" si="30"/>
        <v>-5.3100788065234883E-2</v>
      </c>
      <c r="P146">
        <f t="shared" si="31"/>
        <v>-4.0717996423643932E-2</v>
      </c>
      <c r="Q146">
        <f t="shared" si="32"/>
        <v>-2.8335204782053092E-2</v>
      </c>
    </row>
    <row r="147" spans="1:17" x14ac:dyDescent="0.2">
      <c r="A147" s="4">
        <v>44593</v>
      </c>
      <c r="B147" s="2">
        <v>208.83</v>
      </c>
      <c r="C147" s="2">
        <v>71.84</v>
      </c>
      <c r="D147" s="3">
        <f t="shared" si="33"/>
        <v>-2.4887934254762767E-2</v>
      </c>
      <c r="E147" s="3">
        <f t="shared" si="34"/>
        <v>-1.3051243302651505E-2</v>
      </c>
      <c r="F147">
        <f t="shared" si="35"/>
        <v>-2.3704265159551641E-2</v>
      </c>
      <c r="G147">
        <f t="shared" si="29"/>
        <v>-2.0153257873918261E-2</v>
      </c>
      <c r="H147">
        <f t="shared" si="36"/>
        <v>-1.6602250588284882E-2</v>
      </c>
      <c r="I147">
        <f t="shared" si="42"/>
        <v>45464.770995940678</v>
      </c>
      <c r="J147">
        <f t="shared" si="37"/>
        <v>49180.151334727801</v>
      </c>
      <c r="K147">
        <f t="shared" si="38"/>
        <v>31791.30657777634</v>
      </c>
      <c r="L147">
        <f t="shared" si="39"/>
        <v>33822.361506597088</v>
      </c>
      <c r="M147">
        <f t="shared" si="40"/>
        <v>21673.258499132298</v>
      </c>
      <c r="N147">
        <f t="shared" si="41"/>
        <v>22681.853076848653</v>
      </c>
      <c r="O147">
        <f t="shared" si="30"/>
        <v>-7.5546338064306995E-2</v>
      </c>
      <c r="P147">
        <f t="shared" si="31"/>
        <v>-6.0050654015527227E-2</v>
      </c>
      <c r="Q147">
        <f t="shared" si="32"/>
        <v>-4.4467027200075893E-2</v>
      </c>
    </row>
    <row r="148" spans="1:17" x14ac:dyDescent="0.2">
      <c r="A148" s="4">
        <v>44621</v>
      </c>
      <c r="B148" s="2">
        <v>214.97</v>
      </c>
      <c r="C148" s="2">
        <v>69.87</v>
      </c>
      <c r="D148" s="3">
        <f t="shared" si="33"/>
        <v>2.9401905856438093E-2</v>
      </c>
      <c r="E148" s="3">
        <f t="shared" si="34"/>
        <v>-2.7422048997772785E-2</v>
      </c>
      <c r="F148">
        <f t="shared" si="35"/>
        <v>2.3719510371017005E-2</v>
      </c>
      <c r="G148">
        <f t="shared" si="29"/>
        <v>6.6723239147537423E-3</v>
      </c>
      <c r="H148">
        <f t="shared" si="36"/>
        <v>-1.0374862541509522E-2</v>
      </c>
      <c r="I148">
        <f t="shared" si="42"/>
        <v>46543.173103094807</v>
      </c>
      <c r="J148">
        <f t="shared" si="37"/>
        <v>49180.151334727801</v>
      </c>
      <c r="K148">
        <f t="shared" si="38"/>
        <v>32003.428472936503</v>
      </c>
      <c r="L148">
        <f t="shared" si="39"/>
        <v>33822.361506597088</v>
      </c>
      <c r="M148">
        <f t="shared" si="40"/>
        <v>21448.401421377199</v>
      </c>
      <c r="N148">
        <f t="shared" si="41"/>
        <v>22681.853076848653</v>
      </c>
      <c r="O148">
        <f t="shared" si="30"/>
        <v>-5.3618749842498592E-2</v>
      </c>
      <c r="P148">
        <f t="shared" si="31"/>
        <v>-5.3779007515658006E-2</v>
      </c>
      <c r="Q148">
        <f t="shared" si="32"/>
        <v>-5.4380550446755049E-2</v>
      </c>
    </row>
    <row r="149" spans="1:17" x14ac:dyDescent="0.2">
      <c r="A149" s="4">
        <v>44652</v>
      </c>
      <c r="B149" s="2">
        <v>195.95</v>
      </c>
      <c r="C149" s="2">
        <v>67.03</v>
      </c>
      <c r="D149" s="3">
        <f t="shared" si="33"/>
        <v>-8.847746197143791E-2</v>
      </c>
      <c r="E149" s="3">
        <f t="shared" si="34"/>
        <v>-4.0646915700586872E-2</v>
      </c>
      <c r="F149">
        <f t="shared" si="35"/>
        <v>-8.3694407344352809E-2</v>
      </c>
      <c r="G149">
        <f t="shared" si="29"/>
        <v>-6.9345243463097492E-2</v>
      </c>
      <c r="H149">
        <f t="shared" si="36"/>
        <v>-5.4996079581842182E-2</v>
      </c>
      <c r="I149">
        <f t="shared" si="42"/>
        <v>42647.769814305662</v>
      </c>
      <c r="J149">
        <f t="shared" si="37"/>
        <v>49180.151334727801</v>
      </c>
      <c r="K149">
        <f t="shared" si="38"/>
        <v>29784.142933826897</v>
      </c>
      <c r="L149">
        <f t="shared" si="39"/>
        <v>33822.361506597088</v>
      </c>
      <c r="M149">
        <f t="shared" si="40"/>
        <v>20268.823429903841</v>
      </c>
      <c r="N149">
        <f t="shared" si="41"/>
        <v>22681.853076848653</v>
      </c>
      <c r="O149">
        <f t="shared" si="30"/>
        <v>-0.13282556769623843</v>
      </c>
      <c r="P149">
        <f t="shared" si="31"/>
        <v>-0.11939493260937828</v>
      </c>
      <c r="Q149">
        <f t="shared" si="32"/>
        <v>-0.10638591294852306</v>
      </c>
    </row>
    <row r="150" spans="1:17" x14ac:dyDescent="0.2">
      <c r="A150" s="4">
        <v>44682</v>
      </c>
      <c r="B150" s="2">
        <v>195.46</v>
      </c>
      <c r="C150" s="2">
        <v>67.63</v>
      </c>
      <c r="D150" s="3">
        <f t="shared" si="33"/>
        <v>-2.5006379178360572E-3</v>
      </c>
      <c r="E150" s="3">
        <f t="shared" si="34"/>
        <v>8.9512158734894598E-3</v>
      </c>
      <c r="F150">
        <f t="shared" si="35"/>
        <v>-1.3554525387035055E-3</v>
      </c>
      <c r="G150">
        <f t="shared" si="29"/>
        <v>2.0801035986941496E-3</v>
      </c>
      <c r="H150">
        <f t="shared" si="36"/>
        <v>5.5156597360918047E-3</v>
      </c>
      <c r="I150">
        <f t="shared" si="42"/>
        <v>42589.962786440818</v>
      </c>
      <c r="J150">
        <f t="shared" si="37"/>
        <v>49180.151334727801</v>
      </c>
      <c r="K150">
        <f t="shared" si="38"/>
        <v>29846.097036727573</v>
      </c>
      <c r="L150">
        <f t="shared" si="39"/>
        <v>33822.361506597088</v>
      </c>
      <c r="M150">
        <f t="shared" si="40"/>
        <v>20380.619363194117</v>
      </c>
      <c r="N150">
        <f t="shared" si="41"/>
        <v>22681.853076848653</v>
      </c>
      <c r="O150">
        <f t="shared" si="30"/>
        <v>-0.13400098148200335</v>
      </c>
      <c r="P150">
        <f t="shared" si="31"/>
        <v>-0.11756318283967071</v>
      </c>
      <c r="Q150">
        <f t="shared" si="32"/>
        <v>-0.10145704170896874</v>
      </c>
    </row>
    <row r="151" spans="1:17" x14ac:dyDescent="0.2">
      <c r="A151" s="4">
        <v>44713</v>
      </c>
      <c r="B151" s="2">
        <v>178.66</v>
      </c>
      <c r="C151" s="2">
        <v>66.5</v>
      </c>
      <c r="D151" s="3">
        <f t="shared" si="33"/>
        <v>-8.5951089737030695E-2</v>
      </c>
      <c r="E151" s="3">
        <f t="shared" si="34"/>
        <v>-1.6708561289368595E-2</v>
      </c>
      <c r="F151">
        <f t="shared" si="35"/>
        <v>-7.9026836892264488E-2</v>
      </c>
      <c r="G151">
        <f t="shared" si="29"/>
        <v>-5.8254078357965852E-2</v>
      </c>
      <c r="H151">
        <f t="shared" si="36"/>
        <v>-3.7481319823667224E-2</v>
      </c>
      <c r="I151">
        <f t="shared" si="42"/>
        <v>39224.21274406914</v>
      </c>
      <c r="J151">
        <f t="shared" si="37"/>
        <v>49180.151334727801</v>
      </c>
      <c r="K151">
        <f t="shared" si="38"/>
        <v>28107.440161270595</v>
      </c>
      <c r="L151">
        <f t="shared" si="39"/>
        <v>33822.361506597088</v>
      </c>
      <c r="M151">
        <f t="shared" si="40"/>
        <v>19616.726850637813</v>
      </c>
      <c r="N151">
        <f t="shared" si="41"/>
        <v>22681.853076848653</v>
      </c>
      <c r="O151">
        <f t="shared" si="30"/>
        <v>-0.20243814466728638</v>
      </c>
      <c r="P151">
        <f t="shared" si="31"/>
        <v>-0.1689687263324825</v>
      </c>
      <c r="Q151">
        <f t="shared" si="32"/>
        <v>-0.13513561770397897</v>
      </c>
    </row>
    <row r="152" spans="1:17" x14ac:dyDescent="0.2">
      <c r="A152" s="4">
        <v>44743</v>
      </c>
      <c r="B152" s="2">
        <v>196.14</v>
      </c>
      <c r="C152" s="2">
        <v>68.08</v>
      </c>
      <c r="D152" s="3">
        <f t="shared" si="33"/>
        <v>9.7839471622075402E-2</v>
      </c>
      <c r="E152" s="3">
        <f t="shared" si="34"/>
        <v>2.3759398496240536E-2</v>
      </c>
      <c r="F152">
        <f t="shared" si="35"/>
        <v>9.0431464309491921E-2</v>
      </c>
      <c r="G152">
        <f t="shared" si="29"/>
        <v>6.820744237174145E-2</v>
      </c>
      <c r="H152">
        <f t="shared" si="36"/>
        <v>4.5983420433990993E-2</v>
      </c>
      <c r="I152">
        <f t="shared" si="42"/>
        <v>42771.315738902347</v>
      </c>
      <c r="J152">
        <f t="shared" si="37"/>
        <v>49180.151334727801</v>
      </c>
      <c r="K152">
        <f t="shared" si="38"/>
        <v>30024.576766287628</v>
      </c>
      <c r="L152">
        <f t="shared" si="39"/>
        <v>33822.361506597088</v>
      </c>
      <c r="M152">
        <f t="shared" si="40"/>
        <v>20518.771048949453</v>
      </c>
      <c r="N152">
        <f t="shared" si="41"/>
        <v>22681.853076848653</v>
      </c>
      <c r="O152">
        <f t="shared" si="30"/>
        <v>-0.1303134582121539</v>
      </c>
      <c r="P152">
        <f t="shared" si="31"/>
        <v>-0.11228620862469041</v>
      </c>
      <c r="Q152">
        <f t="shared" si="32"/>
        <v>-9.5366195194477088E-2</v>
      </c>
    </row>
    <row r="153" spans="1:17" x14ac:dyDescent="0.2">
      <c r="A153" s="4">
        <v>44774</v>
      </c>
      <c r="B153" s="2">
        <v>188.82</v>
      </c>
      <c r="C153" s="2">
        <v>66.180000000000007</v>
      </c>
      <c r="D153" s="3">
        <f t="shared" si="33"/>
        <v>-3.7320281431630464E-2</v>
      </c>
      <c r="E153" s="3">
        <f t="shared" si="34"/>
        <v>-2.7908343125734314E-2</v>
      </c>
      <c r="F153">
        <f t="shared" si="35"/>
        <v>-3.6379087601040853E-2</v>
      </c>
      <c r="G153">
        <f t="shared" si="29"/>
        <v>-3.3555506109272007E-2</v>
      </c>
      <c r="H153">
        <f t="shared" si="36"/>
        <v>-3.073192461750316E-2</v>
      </c>
      <c r="I153">
        <f t="shared" si="42"/>
        <v>41215.334296825044</v>
      </c>
      <c r="J153">
        <f t="shared" si="37"/>
        <v>49180.151334727801</v>
      </c>
      <c r="K153">
        <f t="shared" si="38"/>
        <v>29017.086897178157</v>
      </c>
      <c r="L153">
        <f t="shared" si="39"/>
        <v>33822.361506597088</v>
      </c>
      <c r="M153">
        <f t="shared" si="40"/>
        <v>19888.189723829331</v>
      </c>
      <c r="N153">
        <f t="shared" si="41"/>
        <v>22681.853076848653</v>
      </c>
      <c r="O153">
        <f t="shared" si="30"/>
        <v>-0.16195186110130011</v>
      </c>
      <c r="P153">
        <f t="shared" si="31"/>
        <v>-0.14207389417446969</v>
      </c>
      <c r="Q153">
        <f t="shared" si="32"/>
        <v>-0.12316733309020556</v>
      </c>
    </row>
    <row r="154" spans="1:17" x14ac:dyDescent="0.2">
      <c r="A154" s="4">
        <v>44805</v>
      </c>
      <c r="B154" s="2">
        <v>170.67</v>
      </c>
      <c r="C154" s="2">
        <v>63.4</v>
      </c>
      <c r="D154" s="3">
        <f t="shared" si="33"/>
        <v>-9.6123292024150042E-2</v>
      </c>
      <c r="E154" s="3">
        <f t="shared" si="34"/>
        <v>-4.2006648534300473E-2</v>
      </c>
      <c r="F154">
        <f t="shared" si="35"/>
        <v>-9.071162767516508E-2</v>
      </c>
      <c r="G154">
        <f t="shared" si="29"/>
        <v>-7.447663462821022E-2</v>
      </c>
      <c r="H154">
        <f t="shared" si="36"/>
        <v>-5.8241641581255346E-2</v>
      </c>
      <c r="I154">
        <f t="shared" si="42"/>
        <v>37476.624237583987</v>
      </c>
      <c r="J154">
        <f t="shared" si="37"/>
        <v>49180.151334727801</v>
      </c>
      <c r="K154">
        <f t="shared" si="38"/>
        <v>26855.991918361993</v>
      </c>
      <c r="L154">
        <f t="shared" si="39"/>
        <v>33822.361506597088</v>
      </c>
      <c r="M154">
        <f t="shared" si="40"/>
        <v>18729.868906234056</v>
      </c>
      <c r="N154">
        <f t="shared" si="41"/>
        <v>22681.853076848653</v>
      </c>
      <c r="O154">
        <f t="shared" si="30"/>
        <v>-0.23797257185094411</v>
      </c>
      <c r="P154">
        <f t="shared" si="31"/>
        <v>-0.20596934329604089</v>
      </c>
      <c r="Q154">
        <f t="shared" si="32"/>
        <v>-0.17423550700310209</v>
      </c>
    </row>
    <row r="155" spans="1:17" x14ac:dyDescent="0.2">
      <c r="A155" s="4">
        <v>44835</v>
      </c>
      <c r="B155" s="2">
        <v>185.3</v>
      </c>
      <c r="C155" s="2">
        <v>62.66</v>
      </c>
      <c r="D155" s="3">
        <f t="shared" si="33"/>
        <v>8.5720982012070124E-2</v>
      </c>
      <c r="E155" s="3">
        <f t="shared" si="34"/>
        <v>-1.1671924290220903E-2</v>
      </c>
      <c r="F155">
        <f t="shared" si="35"/>
        <v>7.5981691381841021E-2</v>
      </c>
      <c r="G155">
        <f t="shared" si="29"/>
        <v>4.6763819491153713E-2</v>
      </c>
      <c r="H155">
        <f t="shared" si="36"/>
        <v>1.7545947600466405E-2</v>
      </c>
      <c r="I155">
        <f t="shared" si="42"/>
        <v>40324.161534437313</v>
      </c>
      <c r="J155">
        <f t="shared" si="37"/>
        <v>49180.151334727801</v>
      </c>
      <c r="K155">
        <f t="shared" si="38"/>
        <v>28111.880676688157</v>
      </c>
      <c r="L155">
        <f t="shared" si="39"/>
        <v>33822.361506597088</v>
      </c>
      <c r="M155">
        <f t="shared" si="40"/>
        <v>19058.502204626446</v>
      </c>
      <c r="N155">
        <f t="shared" si="41"/>
        <v>22681.853076848653</v>
      </c>
      <c r="O155">
        <f t="shared" si="30"/>
        <v>-0.18007243898082459</v>
      </c>
      <c r="P155">
        <f t="shared" si="31"/>
        <v>-0.16883743699549469</v>
      </c>
      <c r="Q155">
        <f t="shared" si="32"/>
        <v>-0.15974668647865276</v>
      </c>
    </row>
    <row r="156" spans="1:17" x14ac:dyDescent="0.2">
      <c r="A156" s="4">
        <v>44866</v>
      </c>
      <c r="B156" s="2">
        <v>194.88</v>
      </c>
      <c r="C156" s="2">
        <v>64.95</v>
      </c>
      <c r="D156" s="3">
        <f t="shared" si="33"/>
        <v>5.1699946033459065E-2</v>
      </c>
      <c r="E156" s="3">
        <f t="shared" si="34"/>
        <v>3.6546441110756556E-2</v>
      </c>
      <c r="F156">
        <f t="shared" si="35"/>
        <v>5.0184595541188814E-2</v>
      </c>
      <c r="G156">
        <f t="shared" si="29"/>
        <v>4.5638544064378062E-2</v>
      </c>
      <c r="H156">
        <f t="shared" si="36"/>
        <v>4.1092492587567309E-2</v>
      </c>
      <c r="I156">
        <f t="shared" si="42"/>
        <v>42347.813271580613</v>
      </c>
      <c r="J156">
        <f t="shared" si="37"/>
        <v>49180.151334727801</v>
      </c>
      <c r="K156">
        <f t="shared" si="38"/>
        <v>29394.865981683728</v>
      </c>
      <c r="L156">
        <f t="shared" si="39"/>
        <v>33822.361506597088</v>
      </c>
      <c r="M156">
        <f t="shared" si="40"/>
        <v>19841.663565200193</v>
      </c>
      <c r="N156">
        <f t="shared" si="41"/>
        <v>22681.853076848653</v>
      </c>
      <c r="O156">
        <f t="shared" si="30"/>
        <v>-0.13892470595800377</v>
      </c>
      <c r="P156">
        <f t="shared" si="31"/>
        <v>-0.13090438773915214</v>
      </c>
      <c r="Q156">
        <f t="shared" si="32"/>
        <v>-0.12521858342109793</v>
      </c>
    </row>
    <row r="157" spans="1:17" x14ac:dyDescent="0.2">
      <c r="A157" s="4">
        <v>44896</v>
      </c>
      <c r="B157" s="2">
        <v>182.59</v>
      </c>
      <c r="C157" s="2">
        <v>64.28</v>
      </c>
      <c r="D157" s="3">
        <f t="shared" si="33"/>
        <v>-6.3064449917898169E-2</v>
      </c>
      <c r="E157" s="3">
        <f t="shared" si="34"/>
        <v>-1.0315627405696692E-2</v>
      </c>
      <c r="F157">
        <f t="shared" si="35"/>
        <v>-5.7789567666678018E-2</v>
      </c>
      <c r="G157">
        <f t="shared" si="29"/>
        <v>-4.1964920913017581E-2</v>
      </c>
      <c r="H157">
        <f t="shared" si="36"/>
        <v>-2.6140274159357137E-2</v>
      </c>
      <c r="I157">
        <f t="shared" si="42"/>
        <v>39900.551450986764</v>
      </c>
      <c r="J157">
        <f t="shared" si="37"/>
        <v>49180.151334727801</v>
      </c>
      <c r="K157">
        <f t="shared" si="38"/>
        <v>28161.31275551362</v>
      </c>
      <c r="L157">
        <f t="shared" si="39"/>
        <v>33822.361506597088</v>
      </c>
      <c r="M157">
        <f t="shared" si="40"/>
        <v>19322.997039828133</v>
      </c>
      <c r="N157">
        <f t="shared" si="41"/>
        <v>22681.853076848653</v>
      </c>
      <c r="O157">
        <f t="shared" si="30"/>
        <v>-0.18868587492914835</v>
      </c>
      <c r="P157">
        <f t="shared" si="31"/>
        <v>-0.16737591637352922</v>
      </c>
      <c r="Q157">
        <f t="shared" si="32"/>
        <v>-0.14808560947998117</v>
      </c>
    </row>
    <row r="158" spans="1:17" x14ac:dyDescent="0.2">
      <c r="A158" s="4">
        <v>44927</v>
      </c>
      <c r="B158" s="2">
        <v>196.17</v>
      </c>
      <c r="C158" s="2">
        <v>66.72</v>
      </c>
      <c r="D158" s="3">
        <f t="shared" si="33"/>
        <v>7.4374281176406098E-2</v>
      </c>
      <c r="E158" s="3">
        <f t="shared" si="34"/>
        <v>3.7958929682638365E-2</v>
      </c>
      <c r="F158">
        <f t="shared" si="35"/>
        <v>7.0732746027029336E-2</v>
      </c>
      <c r="G158">
        <f t="shared" si="29"/>
        <v>5.9808140578899008E-2</v>
      </c>
      <c r="H158">
        <f t="shared" si="36"/>
        <v>4.8883535130768679E-2</v>
      </c>
      <c r="I158">
        <f t="shared" si="42"/>
        <v>42722.827023107828</v>
      </c>
      <c r="J158">
        <f t="shared" si="37"/>
        <v>49180.151334727801</v>
      </c>
      <c r="K158">
        <f t="shared" si="38"/>
        <v>29845.588507681721</v>
      </c>
      <c r="L158">
        <f t="shared" si="39"/>
        <v>33822.361506597088</v>
      </c>
      <c r="M158">
        <f t="shared" si="40"/>
        <v>20267.57344445631</v>
      </c>
      <c r="N158">
        <f t="shared" si="41"/>
        <v>22681.853076848653</v>
      </c>
      <c r="O158">
        <f t="shared" si="30"/>
        <v>-0.13129939897237031</v>
      </c>
      <c r="P158">
        <f t="shared" si="31"/>
        <v>-0.1175782181306203</v>
      </c>
      <c r="Q158">
        <f t="shared" si="32"/>
        <v>-0.10644102244258857</v>
      </c>
    </row>
    <row r="159" spans="1:17" x14ac:dyDescent="0.2">
      <c r="A159" s="4">
        <v>44958</v>
      </c>
      <c r="B159" s="2">
        <v>191.46</v>
      </c>
      <c r="C159" s="2">
        <v>64.78</v>
      </c>
      <c r="D159" s="3">
        <f t="shared" si="33"/>
        <v>-2.4009787429270402E-2</v>
      </c>
      <c r="E159" s="3">
        <f t="shared" si="34"/>
        <v>-2.907673860911264E-2</v>
      </c>
      <c r="F159">
        <f t="shared" si="35"/>
        <v>-2.4516482547254626E-2</v>
      </c>
      <c r="G159">
        <f t="shared" si="29"/>
        <v>-2.6036567901207296E-2</v>
      </c>
      <c r="H159">
        <f t="shared" si="36"/>
        <v>-2.7556653255159966E-2</v>
      </c>
      <c r="I159">
        <f t="shared" si="42"/>
        <v>41675.413580026427</v>
      </c>
      <c r="J159">
        <f t="shared" si="37"/>
        <v>49180.151334727801</v>
      </c>
      <c r="K159">
        <f t="shared" si="38"/>
        <v>29068.511815949973</v>
      </c>
      <c r="L159">
        <f t="shared" si="39"/>
        <v>33822.361506597088</v>
      </c>
      <c r="M159">
        <f t="shared" si="40"/>
        <v>19709.06695072394</v>
      </c>
      <c r="N159">
        <f t="shared" si="41"/>
        <v>22681.853076848653</v>
      </c>
      <c r="O159">
        <f t="shared" si="30"/>
        <v>-0.15259688209625377</v>
      </c>
      <c r="P159">
        <f t="shared" si="31"/>
        <v>-0.14055345277176678</v>
      </c>
      <c r="Q159">
        <f t="shared" si="32"/>
        <v>-0.13106451735017333</v>
      </c>
    </row>
    <row r="160" spans="1:17" x14ac:dyDescent="0.2">
      <c r="A160" s="4">
        <v>44986</v>
      </c>
      <c r="B160" s="2">
        <v>195.85</v>
      </c>
      <c r="C160" s="2">
        <v>66.52</v>
      </c>
      <c r="D160" s="3">
        <f t="shared" si="33"/>
        <v>2.2929071346495355E-2</v>
      </c>
      <c r="E160" s="3">
        <f t="shared" si="34"/>
        <v>2.6860142019141664E-2</v>
      </c>
      <c r="F160">
        <f t="shared" si="35"/>
        <v>2.3322178413759987E-2</v>
      </c>
      <c r="G160">
        <f t="shared" si="29"/>
        <v>2.4501499615553878E-2</v>
      </c>
      <c r="H160">
        <f t="shared" si="36"/>
        <v>2.5680820817347773E-2</v>
      </c>
      <c r="I160">
        <f t="shared" si="42"/>
        <v>42647.37501100704</v>
      </c>
      <c r="J160">
        <f t="shared" si="37"/>
        <v>49180.151334727801</v>
      </c>
      <c r="K160">
        <f t="shared" si="38"/>
        <v>29780.733947033197</v>
      </c>
      <c r="L160">
        <f t="shared" si="39"/>
        <v>33822.361506597088</v>
      </c>
      <c r="M160">
        <f t="shared" si="40"/>
        <v>20215.211967562595</v>
      </c>
      <c r="N160">
        <f t="shared" si="41"/>
        <v>22681.853076848653</v>
      </c>
      <c r="O160">
        <f t="shared" si="30"/>
        <v>-0.13283359539212602</v>
      </c>
      <c r="P160">
        <f t="shared" si="31"/>
        <v>-0.11949572352526494</v>
      </c>
      <c r="Q160">
        <f t="shared" si="32"/>
        <v>-0.10874954091840738</v>
      </c>
    </row>
    <row r="161" spans="1:17" x14ac:dyDescent="0.2">
      <c r="A161" s="4">
        <v>45017</v>
      </c>
      <c r="B161" s="2">
        <v>198.76</v>
      </c>
      <c r="C161" s="2">
        <v>66.900000000000006</v>
      </c>
      <c r="D161" s="3">
        <f t="shared" si="33"/>
        <v>1.4858309931069735E-2</v>
      </c>
      <c r="E161" s="3">
        <f t="shared" si="34"/>
        <v>5.71256764882766E-3</v>
      </c>
      <c r="F161">
        <f t="shared" si="35"/>
        <v>1.3943735702845527E-2</v>
      </c>
      <c r="G161">
        <f t="shared" si="29"/>
        <v>1.1200013018172906E-2</v>
      </c>
      <c r="H161">
        <f t="shared" si="36"/>
        <v>8.4562903335002829E-3</v>
      </c>
      <c r="I161">
        <f t="shared" si="42"/>
        <v>43242.03873658066</v>
      </c>
      <c r="J161">
        <f t="shared" si="37"/>
        <v>49180.151334727801</v>
      </c>
      <c r="K161">
        <f t="shared" si="38"/>
        <v>30114.278554930712</v>
      </c>
      <c r="L161">
        <f t="shared" si="39"/>
        <v>33822.361506597088</v>
      </c>
      <c r="M161">
        <f t="shared" si="40"/>
        <v>20386.157669113556</v>
      </c>
      <c r="N161">
        <f t="shared" si="41"/>
        <v>22681.853076848653</v>
      </c>
      <c r="O161">
        <f t="shared" si="30"/>
        <v>-0.12074205623588707</v>
      </c>
      <c r="P161">
        <f t="shared" si="31"/>
        <v>-0.10963406416619104</v>
      </c>
      <c r="Q161">
        <f t="shared" si="32"/>
        <v>-0.10121286827654796</v>
      </c>
    </row>
    <row r="162" spans="1:17" x14ac:dyDescent="0.2">
      <c r="A162" s="4">
        <v>45047</v>
      </c>
      <c r="B162" s="2">
        <v>199.61</v>
      </c>
      <c r="C162" s="2">
        <v>66.13</v>
      </c>
      <c r="D162" s="3">
        <f t="shared" si="33"/>
        <v>4.2765143892131707E-3</v>
      </c>
      <c r="E162" s="3">
        <f t="shared" si="34"/>
        <v>-1.1509715994021064E-2</v>
      </c>
      <c r="F162">
        <f t="shared" si="35"/>
        <v>2.697891350889747E-3</v>
      </c>
      <c r="G162">
        <f t="shared" si="29"/>
        <v>-2.0379777640805235E-3</v>
      </c>
      <c r="H162">
        <f t="shared" si="36"/>
        <v>-6.7738468790507923E-3</v>
      </c>
      <c r="I162">
        <f t="shared" si="42"/>
        <v>43358.701058882922</v>
      </c>
      <c r="J162">
        <f t="shared" si="37"/>
        <v>49180.151334727801</v>
      </c>
      <c r="K162">
        <f t="shared" si="38"/>
        <v>30052.906324854437</v>
      </c>
      <c r="L162">
        <f t="shared" si="39"/>
        <v>33822.361506597088</v>
      </c>
      <c r="M162">
        <f t="shared" si="40"/>
        <v>20248.064958610794</v>
      </c>
      <c r="N162">
        <f t="shared" si="41"/>
        <v>22681.853076848653</v>
      </c>
      <c r="O162">
        <f t="shared" si="30"/>
        <v>-0.11836991383420481</v>
      </c>
      <c r="P162">
        <f t="shared" si="31"/>
        <v>-0.11144861014531504</v>
      </c>
      <c r="Q162">
        <f t="shared" si="32"/>
        <v>-0.10730111468370385</v>
      </c>
    </row>
    <row r="163" spans="1:17" x14ac:dyDescent="0.2">
      <c r="A163" s="4">
        <v>45078</v>
      </c>
      <c r="B163" s="2">
        <v>212.23</v>
      </c>
      <c r="C163" s="2">
        <v>65.97</v>
      </c>
      <c r="D163" s="3">
        <f t="shared" si="33"/>
        <v>6.3223285406542651E-2</v>
      </c>
      <c r="E163" s="3">
        <f t="shared" si="34"/>
        <v>-2.4194767881444701E-3</v>
      </c>
      <c r="F163">
        <f t="shared" si="35"/>
        <v>5.6659009187073936E-2</v>
      </c>
      <c r="G163">
        <f t="shared" si="29"/>
        <v>3.6966180528667805E-2</v>
      </c>
      <c r="H163">
        <f t="shared" si="36"/>
        <v>1.7273351870261668E-2</v>
      </c>
      <c r="I163">
        <f t="shared" si="42"/>
        <v>45815.362100517763</v>
      </c>
      <c r="J163">
        <f t="shared" si="37"/>
        <v>49180.151334727801</v>
      </c>
      <c r="K163">
        <f t="shared" si="38"/>
        <v>31163.847485470149</v>
      </c>
      <c r="L163">
        <f t="shared" si="39"/>
        <v>33822.361506597088</v>
      </c>
      <c r="M163">
        <f t="shared" si="40"/>
        <v>20597.816909332792</v>
      </c>
      <c r="N163">
        <f t="shared" si="41"/>
        <v>22681.853076848653</v>
      </c>
      <c r="O163">
        <f t="shared" si="30"/>
        <v>-6.8417626682536148E-2</v>
      </c>
      <c r="P163">
        <f t="shared" si="31"/>
        <v>-7.8602259058948132E-2</v>
      </c>
      <c r="Q163">
        <f t="shared" si="32"/>
        <v>-9.1881212723445183E-2</v>
      </c>
    </row>
    <row r="164" spans="1:17" x14ac:dyDescent="0.2">
      <c r="A164" s="4">
        <v>45108</v>
      </c>
      <c r="B164" s="2">
        <v>220.85</v>
      </c>
      <c r="C164" s="2">
        <v>65.89</v>
      </c>
      <c r="D164" s="3">
        <f t="shared" si="33"/>
        <v>4.0616312491165374E-2</v>
      </c>
      <c r="E164" s="3">
        <f t="shared" si="34"/>
        <v>-1.2126724268606281E-3</v>
      </c>
      <c r="F164">
        <f t="shared" si="35"/>
        <v>3.6433413999362778E-2</v>
      </c>
      <c r="G164">
        <f t="shared" si="29"/>
        <v>2.3884718523954972E-2</v>
      </c>
      <c r="H164">
        <f t="shared" si="36"/>
        <v>1.1336023048547172E-2</v>
      </c>
      <c r="I164">
        <f t="shared" si="42"/>
        <v>47484.572155456641</v>
      </c>
      <c r="J164">
        <f t="shared" si="37"/>
        <v>49180.151334727801</v>
      </c>
      <c r="K164">
        <f t="shared" si="38"/>
        <v>31908.187210784068</v>
      </c>
      <c r="L164">
        <f t="shared" si="39"/>
        <v>33822.361506597088</v>
      </c>
      <c r="M164">
        <f t="shared" si="40"/>
        <v>20831.314236566741</v>
      </c>
      <c r="N164">
        <f t="shared" si="41"/>
        <v>22681.853076848653</v>
      </c>
      <c r="O164">
        <f t="shared" si="30"/>
        <v>-3.4476900400952082E-2</v>
      </c>
      <c r="P164">
        <f t="shared" si="31"/>
        <v>-5.6594933367963063E-2</v>
      </c>
      <c r="Q164">
        <f t="shared" si="32"/>
        <v>-8.1586757220059591E-2</v>
      </c>
    </row>
    <row r="165" spans="1:17" x14ac:dyDescent="0.2">
      <c r="A165" s="4">
        <v>45139</v>
      </c>
      <c r="B165" s="2">
        <v>216.58</v>
      </c>
      <c r="C165" s="2">
        <v>65.45</v>
      </c>
      <c r="D165" s="3">
        <f t="shared" si="33"/>
        <v>-1.9334389857369128E-2</v>
      </c>
      <c r="E165" s="3">
        <f t="shared" si="34"/>
        <v>-6.6777963272119933E-3</v>
      </c>
      <c r="F165">
        <f t="shared" si="35"/>
        <v>-1.8068730504353415E-2</v>
      </c>
      <c r="G165">
        <f t="shared" si="29"/>
        <v>-1.4271752445306275E-2</v>
      </c>
      <c r="H165">
        <f t="shared" si="36"/>
        <v>-1.0474774386259133E-2</v>
      </c>
      <c r="I165">
        <f t="shared" si="42"/>
        <v>46626.586218065167</v>
      </c>
      <c r="J165">
        <f t="shared" si="37"/>
        <v>49180.151334727801</v>
      </c>
      <c r="K165">
        <f t="shared" si="38"/>
        <v>31452.801461933268</v>
      </c>
      <c r="L165">
        <f t="shared" si="39"/>
        <v>33822.361506597088</v>
      </c>
      <c r="M165">
        <f t="shared" si="40"/>
        <v>20613.110919769439</v>
      </c>
      <c r="N165">
        <f t="shared" si="41"/>
        <v>22681.853076848653</v>
      </c>
      <c r="O165">
        <f t="shared" si="30"/>
        <v>-5.1922677083335311E-2</v>
      </c>
      <c r="P165">
        <f t="shared" si="31"/>
        <v>-7.0058976934583184E-2</v>
      </c>
      <c r="Q165">
        <f t="shared" si="32"/>
        <v>-9.1206928731531911E-2</v>
      </c>
    </row>
    <row r="166" spans="1:17" x14ac:dyDescent="0.2">
      <c r="A166" s="4">
        <v>45170</v>
      </c>
      <c r="B166" s="2">
        <v>205.43</v>
      </c>
      <c r="C166" s="2">
        <v>63.82</v>
      </c>
      <c r="D166" s="3">
        <f t="shared" si="33"/>
        <v>-5.1482131314064095E-2</v>
      </c>
      <c r="E166" s="3">
        <f t="shared" si="34"/>
        <v>-2.4904507257448527E-2</v>
      </c>
      <c r="F166">
        <f t="shared" si="35"/>
        <v>-4.8824368908402541E-2</v>
      </c>
      <c r="G166">
        <f t="shared" si="29"/>
        <v>-4.0851081691417865E-2</v>
      </c>
      <c r="H166">
        <f t="shared" si="36"/>
        <v>-3.2877794474433196E-2</v>
      </c>
      <c r="I166">
        <f t="shared" si="42"/>
        <v>44350.072571614917</v>
      </c>
      <c r="J166">
        <f t="shared" si="37"/>
        <v>49180.151334727801</v>
      </c>
      <c r="K166">
        <f t="shared" si="38"/>
        <v>30167.920499987886</v>
      </c>
      <c r="L166">
        <f t="shared" si="39"/>
        <v>33822.361506597088</v>
      </c>
      <c r="M166">
        <f t="shared" si="40"/>
        <v>19935.397295470564</v>
      </c>
      <c r="N166">
        <f t="shared" si="41"/>
        <v>22681.853076848653</v>
      </c>
      <c r="O166">
        <f t="shared" si="30"/>
        <v>-9.8211954051109163E-2</v>
      </c>
      <c r="P166">
        <f t="shared" si="31"/>
        <v>-0.1080480736360292</v>
      </c>
      <c r="Q166">
        <f t="shared" si="32"/>
        <v>-0.1210860405484856</v>
      </c>
    </row>
    <row r="167" spans="1:17" x14ac:dyDescent="0.2">
      <c r="A167" s="4">
        <v>45200</v>
      </c>
      <c r="B167" s="2">
        <v>200.73</v>
      </c>
      <c r="C167" s="2">
        <v>62.85</v>
      </c>
      <c r="D167" s="3">
        <f t="shared" si="33"/>
        <v>-2.2878839507374904E-2</v>
      </c>
      <c r="E167" s="3">
        <f t="shared" si="34"/>
        <v>-1.5198997179567519E-2</v>
      </c>
      <c r="F167">
        <f t="shared" si="35"/>
        <v>-2.2110855274594166E-2</v>
      </c>
      <c r="G167">
        <f t="shared" si="29"/>
        <v>-1.980690257625195E-2</v>
      </c>
      <c r="H167">
        <f t="shared" si="36"/>
        <v>-1.7502949877909735E-2</v>
      </c>
      <c r="I167">
        <f t="shared" si="42"/>
        <v>43369.454535566198</v>
      </c>
      <c r="J167">
        <f t="shared" si="37"/>
        <v>49180.151334727801</v>
      </c>
      <c r="K167">
        <f t="shared" si="38"/>
        <v>29570.387437716512</v>
      </c>
      <c r="L167">
        <f t="shared" si="39"/>
        <v>33822.361506597088</v>
      </c>
      <c r="M167">
        <f t="shared" si="40"/>
        <v>19586.469035811726</v>
      </c>
      <c r="N167">
        <f t="shared" si="41"/>
        <v>22681.853076848653</v>
      </c>
      <c r="O167">
        <f t="shared" si="30"/>
        <v>-0.11815125902344403</v>
      </c>
      <c r="P167">
        <f t="shared" si="31"/>
        <v>-0.12571487854422059</v>
      </c>
      <c r="Q167">
        <f t="shared" si="32"/>
        <v>-0.1364696275277606</v>
      </c>
    </row>
    <row r="168" spans="1:17" x14ac:dyDescent="0.2">
      <c r="A168" s="4">
        <v>45231</v>
      </c>
      <c r="B168" s="2">
        <v>219.63</v>
      </c>
      <c r="C168" s="2">
        <v>65.69</v>
      </c>
      <c r="D168" s="3">
        <f t="shared" si="33"/>
        <v>9.4156329397698357E-2</v>
      </c>
      <c r="E168" s="3">
        <f t="shared" si="34"/>
        <v>4.5186953062847923E-2</v>
      </c>
      <c r="F168">
        <f t="shared" si="35"/>
        <v>8.9259391764213311E-2</v>
      </c>
      <c r="G168">
        <f t="shared" si="29"/>
        <v>7.4568578863758173E-2</v>
      </c>
      <c r="H168">
        <f t="shared" si="36"/>
        <v>5.9877765963303048E-2</v>
      </c>
      <c r="I168">
        <f t="shared" si="42"/>
        <v>47240.585668556538</v>
      </c>
      <c r="J168">
        <f t="shared" si="37"/>
        <v>49180.151334727801</v>
      </c>
      <c r="K168">
        <f t="shared" si="38"/>
        <v>31775.409205397762</v>
      </c>
      <c r="L168">
        <f t="shared" si="39"/>
        <v>33822.361506597088</v>
      </c>
      <c r="M168">
        <f t="shared" si="40"/>
        <v>20759.263044785541</v>
      </c>
      <c r="N168">
        <f t="shared" si="41"/>
        <v>22681.853076848653</v>
      </c>
      <c r="O168">
        <f t="shared" si="30"/>
        <v>-3.9437976775839378E-2</v>
      </c>
      <c r="P168">
        <f t="shared" si="31"/>
        <v>-6.0520679515534859E-2</v>
      </c>
      <c r="Q168">
        <f t="shared" si="32"/>
        <v>-8.4763357982663989E-2</v>
      </c>
    </row>
    <row r="169" spans="1:17" x14ac:dyDescent="0.2">
      <c r="A169" s="4">
        <v>45261</v>
      </c>
      <c r="B169" s="2">
        <v>230.27</v>
      </c>
      <c r="C169" s="2">
        <v>67.84</v>
      </c>
      <c r="D169" s="3">
        <f t="shared" si="33"/>
        <v>4.8445112234212218E-2</v>
      </c>
      <c r="E169" s="3">
        <f t="shared" si="34"/>
        <v>3.2729486984320433E-2</v>
      </c>
      <c r="F169">
        <f t="shared" si="35"/>
        <v>4.6873549709223042E-2</v>
      </c>
      <c r="G169">
        <f t="shared" si="29"/>
        <v>4.2158862134255501E-2</v>
      </c>
      <c r="H169">
        <f t="shared" si="36"/>
        <v>3.7444174559287967E-2</v>
      </c>
      <c r="I169">
        <f t="shared" si="42"/>
        <v>49454.919609184428</v>
      </c>
      <c r="J169">
        <f t="shared" si="37"/>
        <v>49454.919609184428</v>
      </c>
      <c r="K169">
        <f t="shared" si="38"/>
        <v>33115.024301347679</v>
      </c>
      <c r="L169">
        <f t="shared" si="39"/>
        <v>33822.361506597088</v>
      </c>
      <c r="M169">
        <f t="shared" si="40"/>
        <v>21536.576513956665</v>
      </c>
      <c r="N169">
        <f t="shared" si="41"/>
        <v>22681.853076848653</v>
      </c>
      <c r="O169">
        <f t="shared" si="30"/>
        <v>0</v>
      </c>
      <c r="P169">
        <f t="shared" si="31"/>
        <v>-2.0913300365246301E-2</v>
      </c>
      <c r="Q169">
        <f t="shared" si="32"/>
        <v>-5.0493077395910468E-2</v>
      </c>
    </row>
    <row r="170" spans="1:17" x14ac:dyDescent="0.2">
      <c r="A170" s="4">
        <v>45292</v>
      </c>
      <c r="B170" s="2">
        <v>233.84</v>
      </c>
      <c r="C170" s="2">
        <v>68.12</v>
      </c>
      <c r="D170" s="3">
        <f t="shared" si="33"/>
        <v>1.5503539323402871E-2</v>
      </c>
      <c r="E170" s="3">
        <f t="shared" si="34"/>
        <v>4.1273584905661131E-3</v>
      </c>
      <c r="F170">
        <f t="shared" si="35"/>
        <v>1.4365921240119194E-2</v>
      </c>
      <c r="G170">
        <f t="shared" si="29"/>
        <v>1.0953066990268169E-2</v>
      </c>
      <c r="H170">
        <f t="shared" si="36"/>
        <v>7.5402127404171401E-3</v>
      </c>
      <c r="I170">
        <f t="shared" si="42"/>
        <v>50165.385089226402</v>
      </c>
      <c r="J170">
        <f t="shared" si="37"/>
        <v>50165.385089226402</v>
      </c>
      <c r="K170">
        <f t="shared" si="38"/>
        <v>33477.735380904698</v>
      </c>
      <c r="L170">
        <f t="shared" si="39"/>
        <v>33822.361506597088</v>
      </c>
      <c r="M170">
        <f t="shared" si="40"/>
        <v>21698.966882572171</v>
      </c>
      <c r="N170">
        <f t="shared" si="41"/>
        <v>22681.853076848653</v>
      </c>
      <c r="O170">
        <f t="shared" si="30"/>
        <v>0</v>
      </c>
      <c r="P170">
        <f t="shared" si="31"/>
        <v>-1.0189298154866244E-2</v>
      </c>
      <c r="Q170">
        <f t="shared" si="32"/>
        <v>-4.3333593200976739E-2</v>
      </c>
    </row>
    <row r="171" spans="1:17" x14ac:dyDescent="0.2">
      <c r="A171" s="4">
        <v>45323</v>
      </c>
      <c r="B171" s="2">
        <v>246.23</v>
      </c>
      <c r="C171" s="2">
        <v>66.989999999999995</v>
      </c>
      <c r="D171" s="3">
        <f t="shared" si="33"/>
        <v>5.2984946972288727E-2</v>
      </c>
      <c r="E171" s="3">
        <f t="shared" si="34"/>
        <v>-1.6588373458602645E-2</v>
      </c>
      <c r="F171">
        <f t="shared" si="35"/>
        <v>4.6027614929199587E-2</v>
      </c>
      <c r="G171">
        <f t="shared" si="29"/>
        <v>2.5155618799932177E-2</v>
      </c>
      <c r="H171">
        <f t="shared" si="36"/>
        <v>4.2836226706647676E-3</v>
      </c>
      <c r="I171">
        <f t="shared" si="42"/>
        <v>52474.378116888329</v>
      </c>
      <c r="J171">
        <f t="shared" si="37"/>
        <v>52474.378116888329</v>
      </c>
      <c r="K171">
        <f t="shared" si="38"/>
        <v>34319.888530431737</v>
      </c>
      <c r="L171">
        <f t="shared" si="39"/>
        <v>34319.888530431737</v>
      </c>
      <c r="M171">
        <f t="shared" si="40"/>
        <v>21791.917069040363</v>
      </c>
      <c r="N171">
        <f t="shared" si="41"/>
        <v>22681.853076848653</v>
      </c>
      <c r="O171">
        <f t="shared" si="30"/>
        <v>0</v>
      </c>
      <c r="P171">
        <f t="shared" si="31"/>
        <v>0</v>
      </c>
      <c r="Q171">
        <f t="shared" si="32"/>
        <v>-3.9235595292548942E-2</v>
      </c>
    </row>
    <row r="172" spans="1:17" x14ac:dyDescent="0.2">
      <c r="A172" s="4">
        <v>45352</v>
      </c>
      <c r="B172" s="2">
        <v>253.36</v>
      </c>
      <c r="C172" s="2">
        <v>67.569999999999993</v>
      </c>
      <c r="D172" s="3">
        <f t="shared" si="33"/>
        <v>2.8956666531291919E-2</v>
      </c>
      <c r="E172" s="3">
        <f t="shared" si="34"/>
        <v>8.6580086580085869E-3</v>
      </c>
      <c r="F172">
        <f t="shared" si="35"/>
        <v>2.6926800743963586E-2</v>
      </c>
      <c r="G172">
        <f t="shared" si="29"/>
        <v>2.0837203381978586E-2</v>
      </c>
      <c r="H172">
        <f t="shared" si="36"/>
        <v>1.4747606019993587E-2</v>
      </c>
      <c r="I172">
        <f t="shared" si="42"/>
        <v>53887.345240605187</v>
      </c>
      <c r="J172">
        <f t="shared" si="37"/>
        <v>53887.345240605187</v>
      </c>
      <c r="K172">
        <f t="shared" si="38"/>
        <v>35035.019027787181</v>
      </c>
      <c r="L172">
        <f t="shared" si="39"/>
        <v>35035.019027787181</v>
      </c>
      <c r="M172">
        <f t="shared" si="40"/>
        <v>22113.295676394944</v>
      </c>
      <c r="N172">
        <f t="shared" si="41"/>
        <v>22681.853076848653</v>
      </c>
      <c r="O172">
        <f t="shared" si="30"/>
        <v>0</v>
      </c>
      <c r="P172">
        <f t="shared" si="31"/>
        <v>0</v>
      </c>
      <c r="Q172">
        <f t="shared" si="32"/>
        <v>-2.5066620373889736E-2</v>
      </c>
    </row>
    <row r="173" spans="1:17" x14ac:dyDescent="0.2">
      <c r="A173" s="4">
        <v>45383</v>
      </c>
      <c r="B173" s="2">
        <v>243.21</v>
      </c>
      <c r="C173" s="2">
        <v>65.930000000000007</v>
      </c>
      <c r="D173" s="3">
        <f t="shared" si="33"/>
        <v>-4.0061572466056239E-2</v>
      </c>
      <c r="E173" s="3">
        <f t="shared" si="34"/>
        <v>-2.4271126239455154E-2</v>
      </c>
      <c r="F173">
        <f t="shared" si="35"/>
        <v>-3.8482527843396133E-2</v>
      </c>
      <c r="G173">
        <f t="shared" si="29"/>
        <v>-3.3745393975415802E-2</v>
      </c>
      <c r="H173">
        <f t="shared" si="36"/>
        <v>-2.9008260107435478E-2</v>
      </c>
      <c r="I173">
        <f t="shared" si="42"/>
        <v>51813.623976976902</v>
      </c>
      <c r="J173">
        <f t="shared" si="37"/>
        <v>53887.345240605187</v>
      </c>
      <c r="K173">
        <f t="shared" si="38"/>
        <v>33852.748507758311</v>
      </c>
      <c r="L173">
        <f t="shared" si="39"/>
        <v>35035.019027787181</v>
      </c>
      <c r="M173">
        <f t="shared" si="40"/>
        <v>21471.827443581449</v>
      </c>
      <c r="N173">
        <f t="shared" si="41"/>
        <v>22681.853076848653</v>
      </c>
      <c r="O173">
        <f t="shared" si="30"/>
        <v>-3.8482527843396119E-2</v>
      </c>
      <c r="P173">
        <f t="shared" si="31"/>
        <v>-3.3745393975415872E-2</v>
      </c>
      <c r="Q173">
        <f t="shared" si="32"/>
        <v>-5.3347741437505203E-2</v>
      </c>
    </row>
    <row r="174" spans="1:17" x14ac:dyDescent="0.2">
      <c r="A174" s="4">
        <v>45413</v>
      </c>
      <c r="B174" s="2">
        <v>254.78</v>
      </c>
      <c r="C174" s="2">
        <v>67.03</v>
      </c>
      <c r="D174" s="3">
        <f t="shared" si="33"/>
        <v>4.7572057070021767E-2</v>
      </c>
      <c r="E174" s="3">
        <f t="shared" si="34"/>
        <v>1.6684362202335823E-2</v>
      </c>
      <c r="F174">
        <f t="shared" si="35"/>
        <v>4.4483287583253178E-2</v>
      </c>
      <c r="G174">
        <f t="shared" si="29"/>
        <v>3.5216979122947391E-2</v>
      </c>
      <c r="H174">
        <f t="shared" si="36"/>
        <v>2.5950670662641603E-2</v>
      </c>
      <c r="I174">
        <f t="shared" si="42"/>
        <v>54118.46431307531</v>
      </c>
      <c r="J174">
        <f t="shared" si="37"/>
        <v>54118.46431307531</v>
      </c>
      <c r="K174">
        <f t="shared" si="38"/>
        <v>35044.940045210424</v>
      </c>
      <c r="L174">
        <f t="shared" si="39"/>
        <v>35044.940045210424</v>
      </c>
      <c r="M174">
        <f t="shared" si="40"/>
        <v>22029.035766094901</v>
      </c>
      <c r="N174">
        <f t="shared" si="41"/>
        <v>22681.853076848653</v>
      </c>
      <c r="O174">
        <f t="shared" si="30"/>
        <v>0</v>
      </c>
      <c r="P174">
        <f t="shared" si="31"/>
        <v>0</v>
      </c>
      <c r="Q174">
        <f t="shared" si="32"/>
        <v>-2.8781480443504037E-2</v>
      </c>
    </row>
    <row r="175" spans="1:17" x14ac:dyDescent="0.2">
      <c r="A175" s="4">
        <v>45444</v>
      </c>
      <c r="B175" s="2">
        <v>261.7</v>
      </c>
      <c r="C175" s="2">
        <v>67.62</v>
      </c>
      <c r="D175" s="3">
        <f t="shared" si="33"/>
        <v>2.7160687652092008E-2</v>
      </c>
      <c r="E175" s="3">
        <f t="shared" si="34"/>
        <v>8.8020289422647835E-3</v>
      </c>
      <c r="F175">
        <f t="shared" si="35"/>
        <v>2.5324821781109286E-2</v>
      </c>
      <c r="G175">
        <f t="shared" si="29"/>
        <v>1.9817224168161118E-2</v>
      </c>
      <c r="H175">
        <f t="shared" si="36"/>
        <v>1.4309626555212951E-2</v>
      </c>
      <c r="I175">
        <f t="shared" si="42"/>
        <v>55489.004776871268</v>
      </c>
      <c r="J175">
        <f t="shared" si="37"/>
        <v>55489.004776871268</v>
      </c>
      <c r="K175">
        <f t="shared" si="38"/>
        <v>35739.433478046129</v>
      </c>
      <c r="L175">
        <f t="shared" si="39"/>
        <v>35739.433478046129</v>
      </c>
      <c r="M175">
        <f t="shared" si="40"/>
        <v>22344.263041279148</v>
      </c>
      <c r="N175">
        <f t="shared" si="41"/>
        <v>22681.853076848653</v>
      </c>
      <c r="O175">
        <f t="shared" si="30"/>
        <v>0</v>
      </c>
      <c r="P175">
        <f t="shared" si="31"/>
        <v>0</v>
      </c>
      <c r="Q175">
        <f t="shared" si="32"/>
        <v>-1.4883706125143781E-2</v>
      </c>
    </row>
    <row r="176" spans="1:17" x14ac:dyDescent="0.2">
      <c r="A176" s="4">
        <v>45474</v>
      </c>
      <c r="B176" s="2">
        <v>267.58999999999997</v>
      </c>
      <c r="C176" s="2">
        <v>69.209999999999994</v>
      </c>
      <c r="D176" s="3">
        <f t="shared" si="33"/>
        <v>2.250668704623604E-2</v>
      </c>
      <c r="E176" s="3">
        <f t="shared" si="34"/>
        <v>2.3513753327417675E-2</v>
      </c>
      <c r="F176">
        <f t="shared" si="35"/>
        <v>2.2607393674354204E-2</v>
      </c>
      <c r="G176">
        <f t="shared" si="29"/>
        <v>2.2909513558708693E-2</v>
      </c>
      <c r="H176">
        <f t="shared" si="36"/>
        <v>2.3211633443063186E-2</v>
      </c>
      <c r="I176">
        <f t="shared" si="42"/>
        <v>56743.466552460122</v>
      </c>
      <c r="J176">
        <f t="shared" si="37"/>
        <v>56743.466552460122</v>
      </c>
      <c r="K176">
        <f t="shared" si="38"/>
        <v>36558.206513891993</v>
      </c>
      <c r="L176">
        <f t="shared" si="39"/>
        <v>36558.206513891993</v>
      </c>
      <c r="M176">
        <f t="shared" si="40"/>
        <v>22862.909884548702</v>
      </c>
      <c r="N176">
        <f t="shared" si="41"/>
        <v>22862.909884548702</v>
      </c>
      <c r="O176">
        <f t="shared" si="30"/>
        <v>0</v>
      </c>
      <c r="P176">
        <f t="shared" si="31"/>
        <v>0</v>
      </c>
      <c r="Q176">
        <f t="shared" si="32"/>
        <v>0</v>
      </c>
    </row>
    <row r="177" spans="1:17" x14ac:dyDescent="0.2">
      <c r="A177" s="4">
        <v>45505</v>
      </c>
      <c r="B177" s="2">
        <v>273.3</v>
      </c>
      <c r="C177" s="2">
        <v>70.22</v>
      </c>
      <c r="D177" s="3">
        <f t="shared" si="33"/>
        <v>2.1338615045405351E-2</v>
      </c>
      <c r="E177" s="3">
        <f t="shared" si="34"/>
        <v>1.4593266868949684E-2</v>
      </c>
      <c r="F177">
        <f t="shared" si="35"/>
        <v>2.0664080227759785E-2</v>
      </c>
      <c r="G177">
        <f t="shared" si="29"/>
        <v>1.8640475774823084E-2</v>
      </c>
      <c r="H177">
        <f t="shared" si="36"/>
        <v>1.6616871321886384E-2</v>
      </c>
      <c r="I177">
        <f t="shared" si="42"/>
        <v>57916.018097701359</v>
      </c>
      <c r="J177">
        <f t="shared" si="37"/>
        <v>57916.018097701359</v>
      </c>
      <c r="K177">
        <f t="shared" si="38"/>
        <v>37239.668876785174</v>
      </c>
      <c r="L177">
        <f t="shared" si="39"/>
        <v>37239.668876785174</v>
      </c>
      <c r="M177">
        <f t="shared" si="40"/>
        <v>23242.819916144133</v>
      </c>
      <c r="N177">
        <f t="shared" si="41"/>
        <v>23242.819916144133</v>
      </c>
      <c r="O177">
        <f t="shared" si="30"/>
        <v>0</v>
      </c>
      <c r="P177">
        <f t="shared" si="31"/>
        <v>0</v>
      </c>
      <c r="Q177">
        <f t="shared" si="32"/>
        <v>0</v>
      </c>
    </row>
    <row r="178" spans="1:17" x14ac:dyDescent="0.2">
      <c r="A178" s="4">
        <v>45536</v>
      </c>
      <c r="B178" s="2">
        <v>277.99</v>
      </c>
      <c r="C178" s="2">
        <v>71.150000000000006</v>
      </c>
      <c r="D178" s="3">
        <f t="shared" si="33"/>
        <v>1.7160629345042144E-2</v>
      </c>
      <c r="E178" s="3">
        <f t="shared" si="34"/>
        <v>1.3244090002848319E-2</v>
      </c>
      <c r="F178">
        <f t="shared" si="35"/>
        <v>1.6768975410822763E-2</v>
      </c>
      <c r="G178">
        <f t="shared" si="29"/>
        <v>1.5594013608164614E-2</v>
      </c>
      <c r="H178">
        <f t="shared" si="36"/>
        <v>1.4419051805506466E-2</v>
      </c>
      <c r="I178">
        <f t="shared" si="42"/>
        <v>58887.210381074474</v>
      </c>
      <c r="J178">
        <f t="shared" si="37"/>
        <v>58887.210381074474</v>
      </c>
      <c r="K178">
        <f t="shared" si="38"/>
        <v>37820.384780013308</v>
      </c>
      <c r="L178">
        <f t="shared" si="39"/>
        <v>37820.384780013308</v>
      </c>
      <c r="M178">
        <f t="shared" si="40"/>
        <v>23577.959340621073</v>
      </c>
      <c r="N178">
        <f t="shared" si="41"/>
        <v>23577.959340621073</v>
      </c>
      <c r="O178">
        <f t="shared" si="30"/>
        <v>0</v>
      </c>
      <c r="P178">
        <f t="shared" si="31"/>
        <v>0</v>
      </c>
      <c r="Q178">
        <f t="shared" si="32"/>
        <v>0</v>
      </c>
    </row>
    <row r="179" spans="1:17" x14ac:dyDescent="0.2">
      <c r="A179" s="4">
        <v>45566</v>
      </c>
      <c r="B179" s="2">
        <v>276.75</v>
      </c>
      <c r="C179" s="2">
        <v>69.41</v>
      </c>
      <c r="D179" s="3">
        <f t="shared" si="33"/>
        <v>-4.4605921076298349E-3</v>
      </c>
      <c r="E179" s="3">
        <f t="shared" si="34"/>
        <v>-2.4455375966268567E-2</v>
      </c>
      <c r="F179">
        <f t="shared" si="35"/>
        <v>-6.4600704934937086E-3</v>
      </c>
      <c r="G179">
        <f t="shared" si="29"/>
        <v>-1.2458505651085328E-2</v>
      </c>
      <c r="H179">
        <f t="shared" si="36"/>
        <v>-1.8456940808676946E-2</v>
      </c>
      <c r="I179">
        <f t="shared" si="42"/>
        <v>58506.794850847538</v>
      </c>
      <c r="J179">
        <f t="shared" si="37"/>
        <v>58887.210381074474</v>
      </c>
      <c r="K179">
        <f t="shared" si="38"/>
        <v>37349.199302505294</v>
      </c>
      <c r="L179">
        <f t="shared" si="39"/>
        <v>37820.384780013308</v>
      </c>
      <c r="M179">
        <f t="shared" si="40"/>
        <v>23142.782340681839</v>
      </c>
      <c r="N179">
        <f t="shared" si="41"/>
        <v>23577.959340621073</v>
      </c>
      <c r="O179">
        <f t="shared" si="30"/>
        <v>-6.4600704934937303E-3</v>
      </c>
      <c r="P179">
        <f t="shared" si="31"/>
        <v>-1.2458505651085194E-2</v>
      </c>
      <c r="Q179">
        <f t="shared" si="32"/>
        <v>-1.845694080867688E-2</v>
      </c>
    </row>
    <row r="180" spans="1:17" x14ac:dyDescent="0.2">
      <c r="A180" s="4">
        <v>45597</v>
      </c>
      <c r="B180" s="2">
        <v>295.29000000000002</v>
      </c>
      <c r="C180" s="2">
        <v>70.13</v>
      </c>
      <c r="D180" s="3">
        <f t="shared" si="33"/>
        <v>6.6991869918699321E-2</v>
      </c>
      <c r="E180" s="3">
        <f t="shared" si="34"/>
        <v>1.0373145079959567E-2</v>
      </c>
      <c r="F180">
        <f t="shared" si="35"/>
        <v>6.1329997434825347E-2</v>
      </c>
      <c r="G180">
        <f t="shared" si="29"/>
        <v>4.4344379983203418E-2</v>
      </c>
      <c r="H180">
        <f t="shared" si="36"/>
        <v>2.7358762531581492E-2</v>
      </c>
      <c r="I180">
        <f t="shared" si="42"/>
        <v>62095.016428969873</v>
      </c>
      <c r="J180">
        <f t="shared" si="37"/>
        <v>62095.016428969873</v>
      </c>
      <c r="K180">
        <f t="shared" si="38"/>
        <v>39005.426388443986</v>
      </c>
      <c r="L180">
        <f t="shared" si="39"/>
        <v>39005.426388443986</v>
      </c>
      <c r="M180">
        <f t="shared" si="40"/>
        <v>23775.94022706063</v>
      </c>
      <c r="N180">
        <f t="shared" si="41"/>
        <v>23775.94022706063</v>
      </c>
      <c r="O180">
        <f t="shared" si="30"/>
        <v>0</v>
      </c>
      <c r="P180">
        <f t="shared" si="31"/>
        <v>0</v>
      </c>
      <c r="Q180">
        <f t="shared" si="32"/>
        <v>0</v>
      </c>
    </row>
    <row r="181" spans="1:17" x14ac:dyDescent="0.2">
      <c r="A181" s="4">
        <v>45627</v>
      </c>
      <c r="B181" s="2">
        <v>285.39999999999998</v>
      </c>
      <c r="C181" s="2">
        <v>68.739999999999995</v>
      </c>
      <c r="D181" s="3">
        <f t="shared" si="33"/>
        <v>-3.3492498899387213E-2</v>
      </c>
      <c r="E181" s="3">
        <f t="shared" si="34"/>
        <v>-1.9820333666048739E-2</v>
      </c>
      <c r="F181">
        <f t="shared" si="35"/>
        <v>-3.2125282376053367E-2</v>
      </c>
      <c r="G181">
        <f t="shared" si="29"/>
        <v>-2.8023632806051822E-2</v>
      </c>
      <c r="H181">
        <f t="shared" si="36"/>
        <v>-2.3921983236050281E-2</v>
      </c>
      <c r="I181">
        <f t="shared" si="42"/>
        <v>60100.196492043542</v>
      </c>
      <c r="J181">
        <f t="shared" si="37"/>
        <v>62095.016428969873</v>
      </c>
      <c r="K181">
        <f t="shared" si="38"/>
        <v>37912.35264189075</v>
      </c>
      <c r="L181">
        <f t="shared" si="39"/>
        <v>39005.426388443986</v>
      </c>
      <c r="M181">
        <f t="shared" si="40"/>
        <v>23207.17258352755</v>
      </c>
      <c r="N181">
        <f t="shared" si="41"/>
        <v>23775.94022706063</v>
      </c>
      <c r="O181">
        <f t="shared" si="30"/>
        <v>-3.2125282376053388E-2</v>
      </c>
      <c r="P181">
        <f t="shared" si="31"/>
        <v>-2.8023632806051801E-2</v>
      </c>
      <c r="Q181">
        <f t="shared" si="32"/>
        <v>-2.3921983236050326E-2</v>
      </c>
    </row>
    <row r="182" spans="1:17" x14ac:dyDescent="0.2">
      <c r="A182" s="4">
        <v>45658</v>
      </c>
      <c r="B182" s="2">
        <v>295</v>
      </c>
      <c r="C182" s="2">
        <v>69.58</v>
      </c>
      <c r="D182" s="3">
        <f t="shared" si="33"/>
        <v>3.3637000700770914E-2</v>
      </c>
      <c r="E182" s="3">
        <f t="shared" si="34"/>
        <v>1.2219959266802416E-2</v>
      </c>
      <c r="F182">
        <f t="shared" si="35"/>
        <v>3.1495296557374063E-2</v>
      </c>
      <c r="G182">
        <f t="shared" si="29"/>
        <v>2.5070184127183516E-2</v>
      </c>
      <c r="H182">
        <f t="shared" si="36"/>
        <v>1.8645071696992963E-2</v>
      </c>
      <c r="I182">
        <f t="shared" si="42"/>
        <v>61993.070003716908</v>
      </c>
      <c r="J182">
        <f t="shared" si="37"/>
        <v>62095.016428969873</v>
      </c>
      <c r="K182">
        <f t="shared" si="38"/>
        <v>38862.822303317662</v>
      </c>
      <c r="L182">
        <f t="shared" si="39"/>
        <v>39005.426388443986</v>
      </c>
      <c r="M182">
        <f t="shared" si="40"/>
        <v>23639.871980231914</v>
      </c>
      <c r="N182">
        <f t="shared" si="41"/>
        <v>23775.94022706063</v>
      </c>
      <c r="O182">
        <f t="shared" si="30"/>
        <v>-1.641781114102514E-3</v>
      </c>
      <c r="P182">
        <f t="shared" si="31"/>
        <v>-3.6560063132285991E-3</v>
      </c>
      <c r="Q182">
        <f t="shared" si="32"/>
        <v>-5.7229386316276498E-3</v>
      </c>
    </row>
    <row r="183" spans="1:17" x14ac:dyDescent="0.2">
      <c r="A183" s="4">
        <v>45689</v>
      </c>
      <c r="B183" s="2">
        <v>289.43</v>
      </c>
      <c r="C183" s="2">
        <v>70.849999999999994</v>
      </c>
      <c r="D183" s="3">
        <f t="shared" si="33"/>
        <v>-1.8881355932203414E-2</v>
      </c>
      <c r="E183" s="3">
        <f t="shared" si="34"/>
        <v>1.8252371371083598E-2</v>
      </c>
      <c r="F183">
        <f t="shared" si="35"/>
        <v>-1.5167983201874714E-2</v>
      </c>
      <c r="G183">
        <f t="shared" si="29"/>
        <v>-4.0278650108886097E-3</v>
      </c>
      <c r="H183">
        <f t="shared" si="36"/>
        <v>7.112253180097494E-3</v>
      </c>
      <c r="I183">
        <f t="shared" si="42"/>
        <v>61052.760159267884</v>
      </c>
      <c r="J183">
        <f t="shared" si="37"/>
        <v>62095.016428969873</v>
      </c>
      <c r="K183">
        <f t="shared" si="38"/>
        <v>38706.288101137747</v>
      </c>
      <c r="L183">
        <f t="shared" si="39"/>
        <v>39005.426388443986</v>
      </c>
      <c r="M183">
        <f t="shared" si="40"/>
        <v>23808.004734900416</v>
      </c>
      <c r="N183">
        <f t="shared" si="41"/>
        <v>23808.004734900416</v>
      </c>
      <c r="O183">
        <f t="shared" si="30"/>
        <v>-1.6784861807617402E-2</v>
      </c>
      <c r="P183">
        <f t="shared" si="31"/>
        <v>-7.669145424208601E-3</v>
      </c>
      <c r="Q183">
        <f t="shared" si="32"/>
        <v>0</v>
      </c>
    </row>
    <row r="184" spans="1:17" x14ac:dyDescent="0.2">
      <c r="A184" s="4">
        <v>45717</v>
      </c>
      <c r="B184" s="2">
        <v>271.52999999999997</v>
      </c>
      <c r="C184" s="2">
        <v>70.88</v>
      </c>
      <c r="D184" s="3">
        <f t="shared" si="33"/>
        <v>-6.1845696714231568E-2</v>
      </c>
      <c r="E184" s="3">
        <f t="shared" si="34"/>
        <v>4.234297812280019E-4</v>
      </c>
      <c r="F184">
        <f t="shared" si="35"/>
        <v>-5.5618784064685615E-2</v>
      </c>
      <c r="G184">
        <f t="shared" si="29"/>
        <v>-3.6938046116047736E-2</v>
      </c>
      <c r="H184">
        <f t="shared" si="36"/>
        <v>-1.8257308167409867E-2</v>
      </c>
      <c r="I184">
        <f t="shared" si="42"/>
        <v>57657.079875416523</v>
      </c>
      <c r="J184">
        <f t="shared" si="37"/>
        <v>62095.016428969873</v>
      </c>
      <c r="K184">
        <f t="shared" si="38"/>
        <v>37276.553446276892</v>
      </c>
      <c r="L184">
        <f t="shared" si="39"/>
        <v>39005.426388443986</v>
      </c>
      <c r="M184">
        <f t="shared" si="40"/>
        <v>23373.334655604187</v>
      </c>
      <c r="N184">
        <f t="shared" si="41"/>
        <v>23808.004734900416</v>
      </c>
      <c r="O184">
        <f t="shared" si="30"/>
        <v>-7.1470092267869489E-2</v>
      </c>
      <c r="P184">
        <f t="shared" si="31"/>
        <v>-4.4323908292906222E-2</v>
      </c>
      <c r="Q184">
        <f t="shared" si="32"/>
        <v>-1.825730816740978E-2</v>
      </c>
    </row>
    <row r="185" spans="1:17" x14ac:dyDescent="0.2">
      <c r="A185" s="4">
        <v>45748</v>
      </c>
      <c r="B185" s="2">
        <v>270.48</v>
      </c>
      <c r="C185" s="2">
        <v>71.14</v>
      </c>
      <c r="D185" s="3">
        <f t="shared" si="33"/>
        <v>-3.866976024748503E-3</v>
      </c>
      <c r="E185" s="3">
        <f t="shared" si="34"/>
        <v>3.668171557562161E-3</v>
      </c>
      <c r="F185">
        <f t="shared" si="35"/>
        <v>-3.1134612665174367E-3</v>
      </c>
      <c r="G185">
        <f t="shared" si="29"/>
        <v>-8.5291699182423711E-4</v>
      </c>
      <c r="H185">
        <f t="shared" si="36"/>
        <v>1.4076272828689618E-3</v>
      </c>
      <c r="I185">
        <f t="shared" si="42"/>
        <v>57477.566790483907</v>
      </c>
      <c r="J185">
        <f t="shared" si="37"/>
        <v>62095.016428969873</v>
      </c>
      <c r="K185">
        <f t="shared" si="38"/>
        <v>37244.759640445918</v>
      </c>
      <c r="L185">
        <f t="shared" si="39"/>
        <v>39005.426388443986</v>
      </c>
      <c r="M185">
        <f t="shared" si="40"/>
        <v>23406.23559915704</v>
      </c>
      <c r="N185">
        <f t="shared" si="41"/>
        <v>23808.004734900416</v>
      </c>
      <c r="O185">
        <f t="shared" si="30"/>
        <v>-7.4361034170396634E-2</v>
      </c>
      <c r="P185">
        <f t="shared" si="31"/>
        <v>-4.5139020670203367E-2</v>
      </c>
      <c r="Q185">
        <f t="shared" si="32"/>
        <v>-1.68753803696291E-2</v>
      </c>
    </row>
    <row r="186" spans="1:17" x14ac:dyDescent="0.2">
      <c r="A186" s="4">
        <v>45778</v>
      </c>
      <c r="B186" s="2">
        <v>287.39</v>
      </c>
      <c r="C186" s="2">
        <v>70.67</v>
      </c>
      <c r="D186" s="3">
        <f t="shared" si="33"/>
        <v>6.2518485655131517E-2</v>
      </c>
      <c r="E186" s="3">
        <f t="shared" si="34"/>
        <v>-6.6066910317683636E-3</v>
      </c>
      <c r="F186">
        <f t="shared" si="35"/>
        <v>5.5605967986441532E-2</v>
      </c>
      <c r="G186">
        <f t="shared" si="29"/>
        <v>3.4868414980371562E-2</v>
      </c>
      <c r="H186">
        <f t="shared" si="36"/>
        <v>1.4130861974301599E-2</v>
      </c>
      <c r="I186">
        <f t="shared" si="42"/>
        <v>60673.662529374109</v>
      </c>
      <c r="J186">
        <f t="shared" si="37"/>
        <v>62095.016428969873</v>
      </c>
      <c r="K186">
        <f t="shared" si="38"/>
        <v>38543.42537543318</v>
      </c>
      <c r="L186">
        <f t="shared" si="39"/>
        <v>39005.426388443986</v>
      </c>
      <c r="M186">
        <f t="shared" si="40"/>
        <v>23736.985883746715</v>
      </c>
      <c r="N186">
        <f t="shared" si="41"/>
        <v>23808.004734900416</v>
      </c>
      <c r="O186">
        <f t="shared" si="30"/>
        <v>-2.2889983469472797E-2</v>
      </c>
      <c r="P186">
        <f t="shared" si="31"/>
        <v>-1.1844531794368063E-2</v>
      </c>
      <c r="Q186">
        <f t="shared" si="32"/>
        <v>-2.9829820660944861E-3</v>
      </c>
    </row>
    <row r="187" spans="1:17" x14ac:dyDescent="0.2">
      <c r="A187" s="4">
        <v>45809</v>
      </c>
      <c r="B187" s="2">
        <v>301.32</v>
      </c>
      <c r="C187" s="2">
        <v>71.73</v>
      </c>
      <c r="D187" s="3">
        <f t="shared" si="33"/>
        <v>4.8470719231705983E-2</v>
      </c>
      <c r="E187" s="3">
        <f t="shared" si="34"/>
        <v>1.4999292486203464E-2</v>
      </c>
      <c r="F187">
        <f t="shared" si="35"/>
        <v>4.512357655715573E-2</v>
      </c>
      <c r="G187">
        <f t="shared" si="29"/>
        <v>3.5082148533504977E-2</v>
      </c>
      <c r="H187">
        <f t="shared" si="36"/>
        <v>2.5040720509854217E-2</v>
      </c>
      <c r="I187">
        <f t="shared" si="42"/>
        <v>63411.475185521354</v>
      </c>
      <c r="J187">
        <f t="shared" si="37"/>
        <v>63411.475185521354</v>
      </c>
      <c r="K187">
        <f t="shared" si="38"/>
        <v>39895.611549444191</v>
      </c>
      <c r="L187">
        <f t="shared" si="39"/>
        <v>39895.611549444191</v>
      </c>
      <c r="M187">
        <f t="shared" si="40"/>
        <v>24331.377113007969</v>
      </c>
      <c r="N187">
        <f t="shared" si="41"/>
        <v>24331.377113007969</v>
      </c>
      <c r="O187">
        <f t="shared" si="30"/>
        <v>0</v>
      </c>
      <c r="P187">
        <f t="shared" si="31"/>
        <v>0</v>
      </c>
      <c r="Q187">
        <f t="shared" si="32"/>
        <v>0</v>
      </c>
    </row>
    <row r="188" spans="1:17" x14ac:dyDescent="0.2">
      <c r="A188" s="4">
        <v>45839</v>
      </c>
      <c r="B188" s="2">
        <v>309.14999999999998</v>
      </c>
      <c r="C188" s="2">
        <v>71.55</v>
      </c>
      <c r="D188" s="3">
        <f t="shared" si="33"/>
        <v>2.5985663082437327E-2</v>
      </c>
      <c r="E188" s="3">
        <f t="shared" si="34"/>
        <v>-2.5094102885823144E-3</v>
      </c>
      <c r="F188">
        <f t="shared" si="35"/>
        <v>2.3136155745335361E-2</v>
      </c>
      <c r="G188">
        <f t="shared" si="29"/>
        <v>1.458763373402947E-2</v>
      </c>
      <c r="H188">
        <f t="shared" si="36"/>
        <v>6.0391117227235778E-3</v>
      </c>
      <c r="I188">
        <f t="shared" si="42"/>
        <v>64878.57295145504</v>
      </c>
      <c r="J188">
        <f t="shared" si="37"/>
        <v>64878.57295145504</v>
      </c>
      <c r="K188">
        <f t="shared" si="38"/>
        <v>40477.594118322595</v>
      </c>
      <c r="L188">
        <f t="shared" si="39"/>
        <v>40477.594118322595</v>
      </c>
      <c r="M188">
        <f t="shared" si="40"/>
        <v>24478.317017761146</v>
      </c>
      <c r="N188">
        <f t="shared" si="41"/>
        <v>24478.317017761146</v>
      </c>
      <c r="O188">
        <f t="shared" si="30"/>
        <v>0</v>
      </c>
      <c r="P188">
        <f t="shared" si="31"/>
        <v>0</v>
      </c>
      <c r="Q188">
        <f t="shared" si="32"/>
        <v>0</v>
      </c>
    </row>
    <row r="189" spans="1:17" x14ac:dyDescent="0.2">
      <c r="A189" s="4">
        <v>45870</v>
      </c>
      <c r="B189" s="2">
        <v>316.42</v>
      </c>
      <c r="C189" s="2">
        <v>72.37</v>
      </c>
      <c r="D189" s="3">
        <f t="shared" si="33"/>
        <v>2.3516092511725928E-2</v>
      </c>
      <c r="E189" s="3">
        <f t="shared" si="34"/>
        <v>1.1460517120894576E-2</v>
      </c>
      <c r="F189">
        <f t="shared" si="35"/>
        <v>2.2310534972642796E-2</v>
      </c>
      <c r="G189">
        <f t="shared" si="29"/>
        <v>1.8693862355393387E-2</v>
      </c>
      <c r="H189">
        <f t="shared" si="36"/>
        <v>1.5077189738143981E-2</v>
      </c>
      <c r="I189">
        <f t="shared" si="42"/>
        <v>66326.048622263639</v>
      </c>
      <c r="J189">
        <f t="shared" si="37"/>
        <v>66326.048622263639</v>
      </c>
      <c r="K189">
        <f t="shared" si="38"/>
        <v>41234.276691248</v>
      </c>
      <c r="L189">
        <f t="shared" si="39"/>
        <v>41234.276691248</v>
      </c>
      <c r="M189">
        <f t="shared" si="40"/>
        <v>24847.381247908372</v>
      </c>
      <c r="N189">
        <f t="shared" si="41"/>
        <v>24847.381247908372</v>
      </c>
      <c r="O189">
        <f t="shared" si="30"/>
        <v>0</v>
      </c>
      <c r="P189">
        <f t="shared" si="31"/>
        <v>0</v>
      </c>
      <c r="Q189">
        <f t="shared" si="32"/>
        <v>0</v>
      </c>
    </row>
    <row r="190" spans="1:17" x14ac:dyDescent="0.2">
      <c r="A190" s="4">
        <v>45901</v>
      </c>
      <c r="B190" s="2">
        <v>326.33</v>
      </c>
      <c r="C190" s="2">
        <v>73.17</v>
      </c>
      <c r="D190" s="3">
        <f t="shared" si="33"/>
        <v>3.1319132798179439E-2</v>
      </c>
      <c r="E190" s="3">
        <f t="shared" si="34"/>
        <v>1.105430426972509E-2</v>
      </c>
      <c r="F190">
        <f t="shared" si="35"/>
        <v>2.9292649945334006E-2</v>
      </c>
      <c r="G190">
        <f t="shared" si="29"/>
        <v>2.3213201386797701E-2</v>
      </c>
      <c r="H190">
        <f t="shared" si="36"/>
        <v>1.7133752828261392E-2</v>
      </c>
      <c r="I190">
        <f t="shared" si="42"/>
        <v>68268.914346812817</v>
      </c>
      <c r="J190">
        <f t="shared" si="37"/>
        <v>68268.914346812817</v>
      </c>
      <c r="K190">
        <f t="shared" si="38"/>
        <v>42191.456260120875</v>
      </c>
      <c r="L190">
        <f t="shared" si="39"/>
        <v>42191.456260120875</v>
      </c>
      <c r="M190">
        <f t="shared" si="40"/>
        <v>25273.110136639611</v>
      </c>
      <c r="N190">
        <f t="shared" si="41"/>
        <v>25273.110136639611</v>
      </c>
      <c r="O190">
        <f t="shared" si="30"/>
        <v>0</v>
      </c>
      <c r="P190">
        <f t="shared" si="31"/>
        <v>0</v>
      </c>
      <c r="Q190">
        <f t="shared" si="32"/>
        <v>0</v>
      </c>
    </row>
    <row r="191" spans="1:17" x14ac:dyDescent="0.2">
      <c r="A191" s="4">
        <v>45931</v>
      </c>
      <c r="B191" s="2">
        <v>334.47</v>
      </c>
      <c r="C191" s="2">
        <v>73.62</v>
      </c>
      <c r="D191" s="3">
        <f t="shared" si="33"/>
        <v>2.4944075016088085E-2</v>
      </c>
      <c r="E191" s="3">
        <f t="shared" si="34"/>
        <v>6.1500615006151449E-3</v>
      </c>
      <c r="F191">
        <f t="shared" si="35"/>
        <v>2.3064673664540791E-2</v>
      </c>
      <c r="G191">
        <f t="shared" si="29"/>
        <v>1.7426469609898909E-2</v>
      </c>
      <c r="H191">
        <f t="shared" si="36"/>
        <v>1.1788265555257027E-2</v>
      </c>
      <c r="I191">
        <f t="shared" si="42"/>
        <v>69843.51457765454</v>
      </c>
      <c r="J191">
        <f t="shared" si="37"/>
        <v>69843.51457765454</v>
      </c>
      <c r="K191">
        <f t="shared" si="38"/>
        <v>42926.704390435247</v>
      </c>
      <c r="L191">
        <f t="shared" si="39"/>
        <v>42926.704390435247</v>
      </c>
      <c r="M191">
        <f t="shared" si="40"/>
        <v>25571.036270337576</v>
      </c>
      <c r="N191">
        <f t="shared" si="41"/>
        <v>25571.036270337576</v>
      </c>
      <c r="O191">
        <f t="shared" si="30"/>
        <v>0</v>
      </c>
      <c r="P191">
        <f t="shared" si="31"/>
        <v>0</v>
      </c>
      <c r="Q191">
        <f t="shared" si="32"/>
        <v>0</v>
      </c>
    </row>
    <row r="192" spans="1:17" x14ac:dyDescent="0.2">
      <c r="A192" s="4">
        <v>45962</v>
      </c>
      <c r="B192" s="2">
        <v>335.36</v>
      </c>
      <c r="C192" s="2">
        <v>74.05</v>
      </c>
      <c r="D192" s="3">
        <f t="shared" si="33"/>
        <v>2.6609262415164814E-3</v>
      </c>
      <c r="E192" s="3">
        <f t="shared" si="34"/>
        <v>5.8408041293125379E-3</v>
      </c>
      <c r="F192">
        <f t="shared" si="35"/>
        <v>2.9789140302960869E-3</v>
      </c>
      <c r="G192">
        <f t="shared" si="29"/>
        <v>3.9328773966349042E-3</v>
      </c>
      <c r="H192">
        <f t="shared" si="36"/>
        <v>4.8868407629737206E-3</v>
      </c>
      <c r="I192">
        <f t="shared" si="42"/>
        <v>70051.572403155107</v>
      </c>
      <c r="J192">
        <f t="shared" si="37"/>
        <v>70051.572403155107</v>
      </c>
      <c r="K192">
        <f t="shared" si="38"/>
        <v>43095.529855844419</v>
      </c>
      <c r="L192">
        <f t="shared" si="39"/>
        <v>43095.529855844419</v>
      </c>
      <c r="M192">
        <f>M191*(1+H192)</f>
        <v>25695.997852734938</v>
      </c>
      <c r="N192">
        <f t="shared" si="41"/>
        <v>25695.997852734938</v>
      </c>
      <c r="O192">
        <f t="shared" si="30"/>
        <v>0</v>
      </c>
      <c r="P192">
        <f t="shared" si="31"/>
        <v>0</v>
      </c>
      <c r="Q192">
        <f t="shared" si="32"/>
        <v>0</v>
      </c>
    </row>
    <row r="193" spans="1:17" x14ac:dyDescent="0.2">
      <c r="A193" s="4">
        <v>45992</v>
      </c>
      <c r="B193" s="2">
        <v>334.32</v>
      </c>
      <c r="C193" s="2">
        <v>73.59</v>
      </c>
      <c r="D193" s="3">
        <f t="shared" si="33"/>
        <v>-3.1011450381680516E-3</v>
      </c>
      <c r="E193" s="3">
        <f t="shared" si="34"/>
        <v>-6.2120189061444231E-3</v>
      </c>
      <c r="F193">
        <f t="shared" si="35"/>
        <v>-3.4122324249656892E-3</v>
      </c>
      <c r="G193">
        <f t="shared" si="29"/>
        <v>-4.3454945853586002E-3</v>
      </c>
      <c r="H193">
        <f t="shared" si="36"/>
        <v>-5.2787567457515108E-3</v>
      </c>
      <c r="I193">
        <f t="shared" si="42"/>
        <v>69812.540156381234</v>
      </c>
      <c r="J193">
        <f t="shared" si="37"/>
        <v>70051.572403155107</v>
      </c>
      <c r="K193">
        <f t="shared" si="38"/>
        <v>42908.258464202685</v>
      </c>
      <c r="L193">
        <f t="shared" si="39"/>
        <v>43095.529855844419</v>
      </c>
      <c r="M193">
        <f>M192*(1+H193)</f>
        <v>25560.354930730995</v>
      </c>
      <c r="N193">
        <f t="shared" si="41"/>
        <v>25695.997852734938</v>
      </c>
      <c r="O193">
        <f t="shared" si="30"/>
        <v>-3.4122324249655778E-3</v>
      </c>
      <c r="P193">
        <f t="shared" si="31"/>
        <v>-4.3454945853587112E-3</v>
      </c>
      <c r="Q193">
        <f t="shared" si="32"/>
        <v>-5.2787567457516227E-3</v>
      </c>
    </row>
    <row r="196" spans="1:17" x14ac:dyDescent="0.2">
      <c r="N196" s="5"/>
    </row>
    <row r="197" spans="1:17" x14ac:dyDescent="0.2">
      <c r="N197" s="5"/>
    </row>
    <row r="198" spans="1:17" x14ac:dyDescent="0.2">
      <c r="N198" s="5"/>
    </row>
  </sheetData>
  <sortState xmlns:xlrd2="http://schemas.microsoft.com/office/spreadsheetml/2017/richdata2" ref="A2:B193">
    <sortCondition ref="A2:A193" customList="January,February,March,April,May,June,July,August,September,October,November,December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4BC8-94C6-514F-A1CC-7343C1404431}">
  <dimension ref="A1:C193"/>
  <sheetViews>
    <sheetView workbookViewId="0">
      <selection activeCell="E9" sqref="E9"/>
    </sheetView>
  </sheetViews>
  <sheetFormatPr baseColWidth="10" defaultRowHeight="16" x14ac:dyDescent="0.2"/>
  <cols>
    <col min="1" max="1" width="12.33203125" bestFit="1" customWidth="1"/>
    <col min="2" max="2" width="11" bestFit="1" customWidth="1"/>
  </cols>
  <sheetData>
    <row r="1" spans="1:3" x14ac:dyDescent="0.2">
      <c r="A1" s="4" t="s">
        <v>0</v>
      </c>
      <c r="B1" s="2" t="s">
        <v>1</v>
      </c>
      <c r="C1" s="2" t="s">
        <v>2</v>
      </c>
    </row>
    <row r="2" spans="1:3" x14ac:dyDescent="0.2">
      <c r="A2" s="4">
        <v>40179</v>
      </c>
      <c r="B2" s="2">
        <v>41</v>
      </c>
      <c r="C2" s="2">
        <v>49.87</v>
      </c>
    </row>
    <row r="3" spans="1:3" x14ac:dyDescent="0.2">
      <c r="A3" s="4">
        <v>40210</v>
      </c>
      <c r="B3" s="2">
        <v>42.41</v>
      </c>
      <c r="C3" s="2">
        <v>49.88</v>
      </c>
    </row>
    <row r="4" spans="1:3" x14ac:dyDescent="0.2">
      <c r="A4" s="4">
        <v>40238</v>
      </c>
      <c r="B4" s="2">
        <v>44.94</v>
      </c>
      <c r="C4" s="2">
        <v>49.78</v>
      </c>
    </row>
    <row r="5" spans="1:3" x14ac:dyDescent="0.2">
      <c r="A5" s="4">
        <v>40269</v>
      </c>
      <c r="B5" s="2">
        <v>46.1</v>
      </c>
      <c r="C5" s="2">
        <v>50.3</v>
      </c>
    </row>
    <row r="6" spans="1:3" x14ac:dyDescent="0.2">
      <c r="A6" s="4">
        <v>40299</v>
      </c>
      <c r="B6" s="2">
        <v>42.47</v>
      </c>
      <c r="C6" s="2">
        <v>50.87</v>
      </c>
    </row>
    <row r="7" spans="1:3" x14ac:dyDescent="0.2">
      <c r="A7" s="4">
        <v>40330</v>
      </c>
      <c r="B7" s="2">
        <v>39.799999999999997</v>
      </c>
      <c r="C7" s="2">
        <v>51.61</v>
      </c>
    </row>
    <row r="8" spans="1:3" x14ac:dyDescent="0.2">
      <c r="A8" s="4">
        <v>40360</v>
      </c>
      <c r="B8" s="2">
        <v>42.79</v>
      </c>
      <c r="C8" s="2">
        <v>52.07</v>
      </c>
    </row>
    <row r="9" spans="1:3" x14ac:dyDescent="0.2">
      <c r="A9" s="4">
        <v>40391</v>
      </c>
      <c r="B9" s="2">
        <v>40.78</v>
      </c>
      <c r="C9" s="2">
        <v>52.88</v>
      </c>
    </row>
    <row r="10" spans="1:3" x14ac:dyDescent="0.2">
      <c r="A10" s="4">
        <v>40422</v>
      </c>
      <c r="B10" s="2">
        <v>44.41</v>
      </c>
      <c r="C10" s="2">
        <v>52.88</v>
      </c>
    </row>
    <row r="11" spans="1:3" x14ac:dyDescent="0.2">
      <c r="A11" s="4">
        <v>40452</v>
      </c>
      <c r="B11" s="2">
        <v>46.43</v>
      </c>
      <c r="C11" s="2">
        <v>53.05</v>
      </c>
    </row>
    <row r="12" spans="1:3" x14ac:dyDescent="0.2">
      <c r="A12" s="4">
        <v>40483</v>
      </c>
      <c r="B12" s="2">
        <v>46.67</v>
      </c>
      <c r="C12" s="2">
        <v>52.68</v>
      </c>
    </row>
    <row r="13" spans="1:3" x14ac:dyDescent="0.2">
      <c r="A13" s="4">
        <v>40513</v>
      </c>
      <c r="B13" s="2">
        <v>49.65</v>
      </c>
      <c r="C13" s="2">
        <v>51.77</v>
      </c>
    </row>
    <row r="14" spans="1:3" x14ac:dyDescent="0.2">
      <c r="A14" s="4">
        <v>40544</v>
      </c>
      <c r="B14" s="2">
        <v>50.94</v>
      </c>
      <c r="C14" s="2">
        <v>52.34</v>
      </c>
    </row>
    <row r="15" spans="1:3" x14ac:dyDescent="0.2">
      <c r="A15" s="4">
        <v>40575</v>
      </c>
      <c r="B15" s="2">
        <v>52.83</v>
      </c>
      <c r="C15" s="2">
        <v>52.34</v>
      </c>
    </row>
    <row r="16" spans="1:3" x14ac:dyDescent="0.2">
      <c r="A16" s="4">
        <v>40603</v>
      </c>
      <c r="B16" s="2">
        <v>52.83</v>
      </c>
      <c r="C16" s="2">
        <v>52.27</v>
      </c>
    </row>
    <row r="17" spans="1:3" x14ac:dyDescent="0.2">
      <c r="A17" s="4">
        <v>40634</v>
      </c>
      <c r="B17" s="2">
        <v>54.58</v>
      </c>
      <c r="C17" s="2">
        <v>53.03</v>
      </c>
    </row>
    <row r="18" spans="1:3" x14ac:dyDescent="0.2">
      <c r="A18" s="4">
        <v>40664</v>
      </c>
      <c r="B18" s="2">
        <v>54</v>
      </c>
      <c r="C18" s="2">
        <v>53.66</v>
      </c>
    </row>
    <row r="19" spans="1:3" x14ac:dyDescent="0.2">
      <c r="A19" s="4">
        <v>40695</v>
      </c>
      <c r="B19" s="2">
        <v>52.81</v>
      </c>
      <c r="C19" s="2">
        <v>53.46</v>
      </c>
    </row>
    <row r="20" spans="1:3" x14ac:dyDescent="0.2">
      <c r="A20" s="4">
        <v>40725</v>
      </c>
      <c r="B20" s="2">
        <v>51.83</v>
      </c>
      <c r="C20" s="2">
        <v>54.33</v>
      </c>
    </row>
    <row r="21" spans="1:3" x14ac:dyDescent="0.2">
      <c r="A21" s="4">
        <v>40756</v>
      </c>
      <c r="B21" s="2">
        <v>48.68</v>
      </c>
      <c r="C21" s="2">
        <v>55.23</v>
      </c>
    </row>
    <row r="22" spans="1:3" x14ac:dyDescent="0.2">
      <c r="A22" s="4">
        <v>40787</v>
      </c>
      <c r="B22" s="2">
        <v>44.75</v>
      </c>
      <c r="C22" s="2">
        <v>55.61</v>
      </c>
    </row>
    <row r="23" spans="1:3" x14ac:dyDescent="0.2">
      <c r="A23" s="4">
        <v>40817</v>
      </c>
      <c r="B23" s="2">
        <v>50.1</v>
      </c>
      <c r="C23" s="2">
        <v>55.67</v>
      </c>
    </row>
    <row r="24" spans="1:3" x14ac:dyDescent="0.2">
      <c r="A24" s="4">
        <v>40848</v>
      </c>
      <c r="B24" s="2">
        <v>49.92</v>
      </c>
      <c r="C24" s="2">
        <v>55.64</v>
      </c>
    </row>
    <row r="25" spans="1:3" x14ac:dyDescent="0.2">
      <c r="A25" s="4">
        <v>40878</v>
      </c>
      <c r="B25" s="2">
        <v>50.12</v>
      </c>
      <c r="C25" s="2">
        <v>55.9</v>
      </c>
    </row>
    <row r="26" spans="1:3" x14ac:dyDescent="0.2">
      <c r="A26" s="4">
        <v>40909</v>
      </c>
      <c r="B26" s="2">
        <v>52.96</v>
      </c>
      <c r="C26" s="2">
        <v>56.8</v>
      </c>
    </row>
    <row r="27" spans="1:3" x14ac:dyDescent="0.2">
      <c r="A27" s="4">
        <v>40940</v>
      </c>
      <c r="B27" s="2">
        <v>55.19</v>
      </c>
      <c r="C27" s="2">
        <v>56.68</v>
      </c>
    </row>
    <row r="28" spans="1:3" x14ac:dyDescent="0.2">
      <c r="A28" s="4">
        <v>40969</v>
      </c>
      <c r="B28" s="2">
        <v>56.64</v>
      </c>
      <c r="C28" s="2">
        <v>56.4</v>
      </c>
    </row>
    <row r="29" spans="1:3" x14ac:dyDescent="0.2">
      <c r="A29" s="4">
        <v>41000</v>
      </c>
      <c r="B29" s="2">
        <v>56.52</v>
      </c>
      <c r="C29" s="2">
        <v>56.96</v>
      </c>
    </row>
    <row r="30" spans="1:3" x14ac:dyDescent="0.2">
      <c r="A30" s="4">
        <v>41030</v>
      </c>
      <c r="B30" s="2">
        <v>53.01</v>
      </c>
      <c r="C30" s="2">
        <v>57.56</v>
      </c>
    </row>
    <row r="31" spans="1:3" x14ac:dyDescent="0.2">
      <c r="A31" s="4">
        <v>41061</v>
      </c>
      <c r="B31" s="2">
        <v>54.87</v>
      </c>
      <c r="C31" s="2">
        <v>57.6</v>
      </c>
    </row>
    <row r="32" spans="1:3" x14ac:dyDescent="0.2">
      <c r="A32" s="4">
        <v>41091</v>
      </c>
      <c r="B32" s="2">
        <v>55.63</v>
      </c>
      <c r="C32" s="2">
        <v>58.31</v>
      </c>
    </row>
    <row r="33" spans="1:3" x14ac:dyDescent="0.2">
      <c r="A33" s="4">
        <v>41122</v>
      </c>
      <c r="B33" s="2">
        <v>57.14</v>
      </c>
      <c r="C33" s="2">
        <v>58.4</v>
      </c>
    </row>
    <row r="34" spans="1:3" x14ac:dyDescent="0.2">
      <c r="A34" s="4">
        <v>41153</v>
      </c>
      <c r="B34" s="2">
        <v>58.27</v>
      </c>
      <c r="C34" s="2">
        <v>58.51</v>
      </c>
    </row>
    <row r="35" spans="1:3" x14ac:dyDescent="0.2">
      <c r="A35" s="4">
        <v>41183</v>
      </c>
      <c r="B35" s="2">
        <v>57.5</v>
      </c>
      <c r="C35" s="2">
        <v>58.46</v>
      </c>
    </row>
    <row r="36" spans="1:3" x14ac:dyDescent="0.2">
      <c r="A36" s="4">
        <v>41214</v>
      </c>
      <c r="B36" s="2">
        <v>57.95</v>
      </c>
      <c r="C36" s="2">
        <v>58.61</v>
      </c>
    </row>
    <row r="37" spans="1:3" x14ac:dyDescent="0.2">
      <c r="A37" s="4">
        <v>41244</v>
      </c>
      <c r="B37" s="2">
        <v>58.26</v>
      </c>
      <c r="C37" s="2">
        <v>57.98</v>
      </c>
    </row>
    <row r="38" spans="1:3" x14ac:dyDescent="0.2">
      <c r="A38" s="4">
        <v>41275</v>
      </c>
      <c r="B38" s="2">
        <v>61.88</v>
      </c>
      <c r="C38" s="2">
        <v>57.7</v>
      </c>
    </row>
    <row r="39" spans="1:3" x14ac:dyDescent="0.2">
      <c r="A39" s="4">
        <v>41306</v>
      </c>
      <c r="B39" s="2">
        <v>62.67</v>
      </c>
      <c r="C39" s="2">
        <v>57.89</v>
      </c>
    </row>
    <row r="40" spans="1:3" x14ac:dyDescent="0.2">
      <c r="A40" s="4">
        <v>41334</v>
      </c>
      <c r="B40" s="2">
        <v>64.849999999999994</v>
      </c>
      <c r="C40" s="2">
        <v>57.94</v>
      </c>
    </row>
    <row r="41" spans="1:3" x14ac:dyDescent="0.2">
      <c r="A41" s="4">
        <v>41365</v>
      </c>
      <c r="B41" s="2">
        <v>66.19</v>
      </c>
      <c r="C41" s="2">
        <v>58.43</v>
      </c>
    </row>
    <row r="42" spans="1:3" x14ac:dyDescent="0.2">
      <c r="A42" s="4">
        <v>41395</v>
      </c>
      <c r="B42" s="2">
        <v>67.81</v>
      </c>
      <c r="C42" s="2">
        <v>57.4</v>
      </c>
    </row>
    <row r="43" spans="1:3" x14ac:dyDescent="0.2">
      <c r="A43" s="4">
        <v>41426</v>
      </c>
      <c r="B43" s="2">
        <v>66.52</v>
      </c>
      <c r="C43" s="2">
        <v>56.45</v>
      </c>
    </row>
    <row r="44" spans="1:3" x14ac:dyDescent="0.2">
      <c r="A44" s="4">
        <v>41456</v>
      </c>
      <c r="B44" s="2">
        <v>70.67</v>
      </c>
      <c r="C44" s="2">
        <v>56.66</v>
      </c>
    </row>
    <row r="45" spans="1:3" x14ac:dyDescent="0.2">
      <c r="A45" s="4">
        <v>41487</v>
      </c>
      <c r="B45" s="2">
        <v>68.53</v>
      </c>
      <c r="C45" s="2">
        <v>56.18</v>
      </c>
    </row>
    <row r="46" spans="1:3" x14ac:dyDescent="0.2">
      <c r="A46" s="4">
        <v>41518</v>
      </c>
      <c r="B46" s="2">
        <v>70.86</v>
      </c>
      <c r="C46" s="2">
        <v>56.8</v>
      </c>
    </row>
    <row r="47" spans="1:3" x14ac:dyDescent="0.2">
      <c r="A47" s="4">
        <v>41548</v>
      </c>
      <c r="B47" s="2">
        <v>74.239999999999995</v>
      </c>
      <c r="C47" s="2">
        <v>57.28</v>
      </c>
    </row>
    <row r="48" spans="1:3" x14ac:dyDescent="0.2">
      <c r="A48" s="4">
        <v>41579</v>
      </c>
      <c r="B48" s="2">
        <v>76.25</v>
      </c>
      <c r="C48" s="2">
        <v>57.11</v>
      </c>
    </row>
    <row r="49" spans="1:3" x14ac:dyDescent="0.2">
      <c r="A49" s="4">
        <v>41609</v>
      </c>
      <c r="B49" s="2">
        <v>77.92</v>
      </c>
      <c r="C49" s="2">
        <v>56.58</v>
      </c>
    </row>
    <row r="50" spans="1:3" x14ac:dyDescent="0.2">
      <c r="A50" s="4">
        <v>41640</v>
      </c>
      <c r="B50" s="2">
        <v>75.849999999999994</v>
      </c>
      <c r="C50" s="2">
        <v>57.75</v>
      </c>
    </row>
    <row r="51" spans="1:3" x14ac:dyDescent="0.2">
      <c r="A51" s="4">
        <v>41671</v>
      </c>
      <c r="B51" s="2">
        <v>79.540000000000006</v>
      </c>
      <c r="C51" s="2">
        <v>57.9</v>
      </c>
    </row>
    <row r="52" spans="1:3" x14ac:dyDescent="0.2">
      <c r="A52" s="4">
        <v>41699</v>
      </c>
      <c r="B52" s="2">
        <v>79.59</v>
      </c>
      <c r="C52" s="2">
        <v>57.8</v>
      </c>
    </row>
    <row r="53" spans="1:3" x14ac:dyDescent="0.2">
      <c r="A53" s="4">
        <v>41730</v>
      </c>
      <c r="B53" s="2">
        <v>79.989999999999995</v>
      </c>
      <c r="C53" s="2">
        <v>58.25</v>
      </c>
    </row>
    <row r="54" spans="1:3" x14ac:dyDescent="0.2">
      <c r="A54" s="4">
        <v>41760</v>
      </c>
      <c r="B54" s="2">
        <v>81.67</v>
      </c>
      <c r="C54" s="2">
        <v>58.88</v>
      </c>
    </row>
    <row r="55" spans="1:3" x14ac:dyDescent="0.2">
      <c r="A55" s="4">
        <v>41791</v>
      </c>
      <c r="B55" s="2">
        <v>83.47</v>
      </c>
      <c r="C55" s="2">
        <v>58.93</v>
      </c>
    </row>
    <row r="56" spans="1:3" x14ac:dyDescent="0.2">
      <c r="A56" s="4">
        <v>41821</v>
      </c>
      <c r="B56" s="2">
        <v>82.14</v>
      </c>
      <c r="C56" s="2">
        <v>58.77</v>
      </c>
    </row>
    <row r="57" spans="1:3" x14ac:dyDescent="0.2">
      <c r="A57" s="4">
        <v>41852</v>
      </c>
      <c r="B57" s="2">
        <v>85.55</v>
      </c>
      <c r="C57" s="2">
        <v>59.44</v>
      </c>
    </row>
    <row r="58" spans="1:3" x14ac:dyDescent="0.2">
      <c r="A58" s="4">
        <v>41883</v>
      </c>
      <c r="B58" s="2">
        <v>83.38</v>
      </c>
      <c r="C58" s="2">
        <v>59.1</v>
      </c>
    </row>
    <row r="59" spans="1:3" x14ac:dyDescent="0.2">
      <c r="A59" s="4">
        <v>41913</v>
      </c>
      <c r="B59" s="2">
        <v>86.06</v>
      </c>
      <c r="C59" s="2">
        <v>59.53</v>
      </c>
    </row>
    <row r="60" spans="1:3" x14ac:dyDescent="0.2">
      <c r="A60" s="4">
        <v>41944</v>
      </c>
      <c r="B60" s="2">
        <v>88.19</v>
      </c>
      <c r="C60" s="2">
        <v>60.02</v>
      </c>
    </row>
    <row r="61" spans="1:3" x14ac:dyDescent="0.2">
      <c r="A61" s="4">
        <v>41974</v>
      </c>
      <c r="B61" s="2">
        <v>87.7</v>
      </c>
      <c r="C61" s="2">
        <v>59.78</v>
      </c>
    </row>
    <row r="62" spans="1:3" x14ac:dyDescent="0.2">
      <c r="A62" s="4">
        <v>42005</v>
      </c>
      <c r="B62" s="2">
        <v>85.75</v>
      </c>
      <c r="C62" s="2">
        <v>61.63</v>
      </c>
    </row>
    <row r="63" spans="1:3" x14ac:dyDescent="0.2">
      <c r="A63" s="4">
        <v>42036</v>
      </c>
      <c r="B63" s="2">
        <v>90.67</v>
      </c>
      <c r="C63" s="2">
        <v>60.7</v>
      </c>
    </row>
    <row r="64" spans="1:3" x14ac:dyDescent="0.2">
      <c r="A64" s="4">
        <v>42064</v>
      </c>
      <c r="B64" s="2">
        <v>89.2</v>
      </c>
      <c r="C64" s="2">
        <v>61.04</v>
      </c>
    </row>
    <row r="65" spans="1:3" x14ac:dyDescent="0.2">
      <c r="A65" s="4">
        <v>42095</v>
      </c>
      <c r="B65" s="2">
        <v>90.17</v>
      </c>
      <c r="C65" s="2">
        <v>60.82</v>
      </c>
    </row>
    <row r="66" spans="1:3" x14ac:dyDescent="0.2">
      <c r="A66" s="4">
        <v>42125</v>
      </c>
      <c r="B66" s="2">
        <v>91.34</v>
      </c>
      <c r="C66" s="2">
        <v>60.54</v>
      </c>
    </row>
    <row r="67" spans="1:3" x14ac:dyDescent="0.2">
      <c r="A67" s="4">
        <v>42156</v>
      </c>
      <c r="B67" s="2">
        <v>89.42</v>
      </c>
      <c r="C67" s="2">
        <v>59.86</v>
      </c>
    </row>
    <row r="68" spans="1:3" x14ac:dyDescent="0.2">
      <c r="A68" s="4">
        <v>42186</v>
      </c>
      <c r="B68" s="2">
        <v>91.34</v>
      </c>
      <c r="C68" s="2">
        <v>60.39</v>
      </c>
    </row>
    <row r="69" spans="1:3" x14ac:dyDescent="0.2">
      <c r="A69" s="4">
        <v>42217</v>
      </c>
      <c r="B69" s="2">
        <v>85.77</v>
      </c>
      <c r="C69" s="2">
        <v>60.23</v>
      </c>
    </row>
    <row r="70" spans="1:3" x14ac:dyDescent="0.2">
      <c r="A70" s="4">
        <v>42248</v>
      </c>
      <c r="B70" s="2">
        <v>82.84</v>
      </c>
      <c r="C70" s="2">
        <v>60.72</v>
      </c>
    </row>
    <row r="71" spans="1:3" x14ac:dyDescent="0.2">
      <c r="A71" s="4">
        <v>42278</v>
      </c>
      <c r="B71" s="2">
        <v>89.85</v>
      </c>
      <c r="C71" s="2">
        <v>60.74</v>
      </c>
    </row>
    <row r="72" spans="1:3" x14ac:dyDescent="0.2">
      <c r="A72" s="4">
        <v>42309</v>
      </c>
      <c r="B72" s="2">
        <v>90.39</v>
      </c>
      <c r="C72" s="2">
        <v>60.5</v>
      </c>
    </row>
    <row r="73" spans="1:3" x14ac:dyDescent="0.2">
      <c r="A73" s="4">
        <v>42339</v>
      </c>
      <c r="B73" s="2">
        <v>87.97</v>
      </c>
      <c r="C73" s="2">
        <v>60.22</v>
      </c>
    </row>
    <row r="74" spans="1:3" x14ac:dyDescent="0.2">
      <c r="A74" s="4">
        <v>42370</v>
      </c>
      <c r="B74" s="2">
        <v>83.41</v>
      </c>
      <c r="C74" s="2">
        <v>61.24</v>
      </c>
    </row>
    <row r="75" spans="1:3" x14ac:dyDescent="0.2">
      <c r="A75" s="4">
        <v>42401</v>
      </c>
      <c r="B75" s="2">
        <v>83.4</v>
      </c>
      <c r="C75" s="2">
        <v>61.63</v>
      </c>
    </row>
    <row r="76" spans="1:3" x14ac:dyDescent="0.2">
      <c r="A76" s="4">
        <v>42430</v>
      </c>
      <c r="B76" s="2">
        <v>88.91</v>
      </c>
      <c r="C76" s="2">
        <v>62.19</v>
      </c>
    </row>
    <row r="77" spans="1:3" x14ac:dyDescent="0.2">
      <c r="A77" s="4">
        <v>42461</v>
      </c>
      <c r="B77" s="2">
        <v>89.92</v>
      </c>
      <c r="C77" s="2">
        <v>62.43</v>
      </c>
    </row>
    <row r="78" spans="1:3" x14ac:dyDescent="0.2">
      <c r="A78" s="4">
        <v>42491</v>
      </c>
      <c r="B78" s="2">
        <v>91.48</v>
      </c>
      <c r="C78" s="2">
        <v>62.43</v>
      </c>
    </row>
    <row r="79" spans="1:3" x14ac:dyDescent="0.2">
      <c r="A79" s="4">
        <v>42522</v>
      </c>
      <c r="B79" s="2">
        <v>91.32</v>
      </c>
      <c r="C79" s="2">
        <v>63.69</v>
      </c>
    </row>
    <row r="80" spans="1:3" x14ac:dyDescent="0.2">
      <c r="A80" s="4">
        <v>42552</v>
      </c>
      <c r="B80" s="2">
        <v>95.37</v>
      </c>
      <c r="C80" s="2">
        <v>64.08</v>
      </c>
    </row>
    <row r="81" spans="1:3" x14ac:dyDescent="0.2">
      <c r="A81" s="4">
        <v>42583</v>
      </c>
      <c r="B81" s="2">
        <v>95.57</v>
      </c>
      <c r="C81" s="2">
        <v>63.88</v>
      </c>
    </row>
    <row r="82" spans="1:3" x14ac:dyDescent="0.2">
      <c r="A82" s="4">
        <v>42614</v>
      </c>
      <c r="B82" s="2">
        <v>95.3</v>
      </c>
      <c r="C82" s="2">
        <v>63.95</v>
      </c>
    </row>
    <row r="83" spans="1:3" x14ac:dyDescent="0.2">
      <c r="A83" s="4">
        <v>42644</v>
      </c>
      <c r="B83" s="2">
        <v>93.66</v>
      </c>
      <c r="C83" s="2">
        <v>63.35</v>
      </c>
    </row>
    <row r="84" spans="1:3" x14ac:dyDescent="0.2">
      <c r="A84" s="4">
        <v>42675</v>
      </c>
      <c r="B84" s="2">
        <v>97.87</v>
      </c>
      <c r="C84" s="2">
        <v>61.72</v>
      </c>
    </row>
    <row r="85" spans="1:3" x14ac:dyDescent="0.2">
      <c r="A85" s="4">
        <v>42705</v>
      </c>
      <c r="B85" s="2">
        <v>99.19</v>
      </c>
      <c r="C85" s="2">
        <v>61.76</v>
      </c>
    </row>
    <row r="86" spans="1:3" x14ac:dyDescent="0.2">
      <c r="A86" s="4">
        <v>42736</v>
      </c>
      <c r="B86" s="2">
        <v>101.66</v>
      </c>
      <c r="C86" s="2">
        <v>62.16</v>
      </c>
    </row>
    <row r="87" spans="1:3" x14ac:dyDescent="0.2">
      <c r="A87" s="4">
        <v>42767</v>
      </c>
      <c r="B87" s="2">
        <v>105.42</v>
      </c>
      <c r="C87" s="2">
        <v>62.41</v>
      </c>
    </row>
    <row r="88" spans="1:3" x14ac:dyDescent="0.2">
      <c r="A88" s="4">
        <v>42795</v>
      </c>
      <c r="B88" s="2">
        <v>105.01</v>
      </c>
      <c r="C88" s="2">
        <v>62.4</v>
      </c>
    </row>
    <row r="89" spans="1:3" x14ac:dyDescent="0.2">
      <c r="A89" s="4">
        <v>42826</v>
      </c>
      <c r="B89" s="2">
        <v>106.6</v>
      </c>
      <c r="C89" s="2">
        <v>62.88</v>
      </c>
    </row>
    <row r="90" spans="1:3" x14ac:dyDescent="0.2">
      <c r="A90" s="4">
        <v>42856</v>
      </c>
      <c r="B90" s="2">
        <v>107.68</v>
      </c>
      <c r="C90" s="2">
        <v>63.33</v>
      </c>
    </row>
    <row r="91" spans="1:3" x14ac:dyDescent="0.2">
      <c r="A91" s="4">
        <v>42887</v>
      </c>
      <c r="B91" s="2">
        <v>108.2</v>
      </c>
      <c r="C91" s="2">
        <v>63.36</v>
      </c>
    </row>
    <row r="92" spans="1:3" x14ac:dyDescent="0.2">
      <c r="A92" s="4">
        <v>42917</v>
      </c>
      <c r="B92" s="2">
        <v>110.74</v>
      </c>
      <c r="C92" s="2">
        <v>63.62</v>
      </c>
    </row>
    <row r="93" spans="1:3" x14ac:dyDescent="0.2">
      <c r="A93" s="4">
        <v>42948</v>
      </c>
      <c r="B93" s="2">
        <v>110.91</v>
      </c>
      <c r="C93" s="2">
        <v>64.3</v>
      </c>
    </row>
    <row r="94" spans="1:3" x14ac:dyDescent="0.2">
      <c r="A94" s="4">
        <v>42979</v>
      </c>
      <c r="B94" s="2">
        <v>113.13</v>
      </c>
      <c r="C94" s="2">
        <v>64.13</v>
      </c>
    </row>
    <row r="95" spans="1:3" x14ac:dyDescent="0.2">
      <c r="A95" s="4">
        <v>43009</v>
      </c>
      <c r="B95" s="2">
        <v>116.08</v>
      </c>
      <c r="C95" s="2">
        <v>64.11</v>
      </c>
    </row>
    <row r="96" spans="1:3" x14ac:dyDescent="0.2">
      <c r="A96" s="4">
        <v>43040</v>
      </c>
      <c r="B96" s="2">
        <v>119.6</v>
      </c>
      <c r="C96" s="2">
        <v>64.040000000000006</v>
      </c>
    </row>
    <row r="97" spans="1:3" x14ac:dyDescent="0.2">
      <c r="A97" s="4">
        <v>43070</v>
      </c>
      <c r="B97" s="2">
        <v>120.4</v>
      </c>
      <c r="C97" s="2">
        <v>64.23</v>
      </c>
    </row>
    <row r="98" spans="1:3" x14ac:dyDescent="0.2">
      <c r="A98" s="4">
        <v>43101</v>
      </c>
      <c r="B98" s="2">
        <v>127.32</v>
      </c>
      <c r="C98" s="2">
        <v>63.73</v>
      </c>
    </row>
    <row r="99" spans="1:3" x14ac:dyDescent="0.2">
      <c r="A99" s="4">
        <v>43132</v>
      </c>
      <c r="B99" s="2">
        <v>122.53</v>
      </c>
      <c r="C99" s="2">
        <v>62.93</v>
      </c>
    </row>
    <row r="100" spans="1:3" x14ac:dyDescent="0.2">
      <c r="A100" s="4">
        <v>43160</v>
      </c>
      <c r="B100" s="2">
        <v>119.64</v>
      </c>
      <c r="C100" s="2">
        <v>63.37</v>
      </c>
    </row>
    <row r="101" spans="1:3" x14ac:dyDescent="0.2">
      <c r="A101" s="4">
        <v>43191</v>
      </c>
      <c r="B101" s="2">
        <v>120.66</v>
      </c>
      <c r="C101" s="2">
        <v>62.8</v>
      </c>
    </row>
    <row r="102" spans="1:3" x14ac:dyDescent="0.2">
      <c r="A102" s="4">
        <v>43221</v>
      </c>
      <c r="B102" s="2">
        <v>123.95</v>
      </c>
      <c r="C102" s="2">
        <v>63.24</v>
      </c>
    </row>
    <row r="103" spans="1:3" x14ac:dyDescent="0.2">
      <c r="A103" s="4">
        <v>43252</v>
      </c>
      <c r="B103" s="2">
        <v>124.29</v>
      </c>
      <c r="C103" s="2">
        <v>63.21</v>
      </c>
    </row>
    <row r="104" spans="1:3" x14ac:dyDescent="0.2">
      <c r="A104" s="4">
        <v>43282</v>
      </c>
      <c r="B104" s="2">
        <v>128.96</v>
      </c>
      <c r="C104" s="2">
        <v>63.34</v>
      </c>
    </row>
    <row r="105" spans="1:3" x14ac:dyDescent="0.2">
      <c r="A105" s="4">
        <v>43313</v>
      </c>
      <c r="B105" s="2">
        <v>133.38999999999999</v>
      </c>
      <c r="C105" s="2">
        <v>63.76</v>
      </c>
    </row>
    <row r="106" spans="1:3" x14ac:dyDescent="0.2">
      <c r="A106" s="4">
        <v>43344</v>
      </c>
      <c r="B106" s="2">
        <v>133.01</v>
      </c>
      <c r="C106" s="2">
        <v>63.41</v>
      </c>
    </row>
    <row r="107" spans="1:3" x14ac:dyDescent="0.2">
      <c r="A107" s="4">
        <v>43374</v>
      </c>
      <c r="B107" s="2">
        <v>123.74</v>
      </c>
      <c r="C107" s="2">
        <v>62.86</v>
      </c>
    </row>
    <row r="108" spans="1:3" x14ac:dyDescent="0.2">
      <c r="A108" s="4">
        <v>43405</v>
      </c>
      <c r="B108" s="2">
        <v>126.24</v>
      </c>
      <c r="C108" s="2">
        <v>63.25</v>
      </c>
    </row>
    <row r="109" spans="1:3" x14ac:dyDescent="0.2">
      <c r="A109" s="4">
        <v>43435</v>
      </c>
      <c r="B109" s="2">
        <v>113.98</v>
      </c>
      <c r="C109" s="2">
        <v>64.28</v>
      </c>
    </row>
    <row r="110" spans="1:3" x14ac:dyDescent="0.2">
      <c r="A110" s="4">
        <v>43466</v>
      </c>
      <c r="B110" s="2">
        <v>124.44</v>
      </c>
      <c r="C110" s="2">
        <v>65.319999999999993</v>
      </c>
    </row>
    <row r="111" spans="1:3" x14ac:dyDescent="0.2">
      <c r="A111" s="4">
        <v>43497</v>
      </c>
      <c r="B111" s="2">
        <v>128.87</v>
      </c>
      <c r="C111" s="2">
        <v>65.099999999999994</v>
      </c>
    </row>
    <row r="112" spans="1:3" x14ac:dyDescent="0.2">
      <c r="A112" s="4">
        <v>43525</v>
      </c>
      <c r="B112" s="2">
        <v>130</v>
      </c>
      <c r="C112" s="2">
        <v>66.37</v>
      </c>
    </row>
    <row r="113" spans="1:3" x14ac:dyDescent="0.2">
      <c r="A113" s="4">
        <v>43556</v>
      </c>
      <c r="B113" s="2">
        <v>135.83000000000001</v>
      </c>
      <c r="C113" s="2">
        <v>66.34</v>
      </c>
    </row>
    <row r="114" spans="1:3" x14ac:dyDescent="0.2">
      <c r="A114" s="4">
        <v>43586</v>
      </c>
      <c r="B114" s="2">
        <v>127.07</v>
      </c>
      <c r="C114" s="2">
        <v>67.56</v>
      </c>
    </row>
    <row r="115" spans="1:3" x14ac:dyDescent="0.2">
      <c r="A115" s="4">
        <v>43617</v>
      </c>
      <c r="B115" s="2">
        <v>135.56</v>
      </c>
      <c r="C115" s="2">
        <v>68.41</v>
      </c>
    </row>
    <row r="116" spans="1:3" x14ac:dyDescent="0.2">
      <c r="A116" s="4">
        <v>43647</v>
      </c>
      <c r="B116" s="2">
        <v>137.97999999999999</v>
      </c>
      <c r="C116" s="2">
        <v>68.510000000000005</v>
      </c>
    </row>
    <row r="117" spans="1:3" x14ac:dyDescent="0.2">
      <c r="A117" s="4">
        <v>43678</v>
      </c>
      <c r="B117" s="2">
        <v>135.11000000000001</v>
      </c>
      <c r="C117" s="2">
        <v>70.41</v>
      </c>
    </row>
    <row r="118" spans="1:3" x14ac:dyDescent="0.2">
      <c r="A118" s="4">
        <v>43709</v>
      </c>
      <c r="B118" s="2">
        <v>136.88999999999999</v>
      </c>
      <c r="C118" s="2">
        <v>70.02</v>
      </c>
    </row>
    <row r="119" spans="1:3" x14ac:dyDescent="0.2">
      <c r="A119" s="4">
        <v>43739</v>
      </c>
      <c r="B119" s="2">
        <v>140.41</v>
      </c>
      <c r="C119" s="2">
        <v>70.239999999999995</v>
      </c>
    </row>
    <row r="120" spans="1:3" x14ac:dyDescent="0.2">
      <c r="A120" s="4">
        <v>43770</v>
      </c>
      <c r="B120" s="2">
        <v>145.72999999999999</v>
      </c>
      <c r="C120" s="2">
        <v>70.209999999999994</v>
      </c>
    </row>
    <row r="121" spans="1:3" x14ac:dyDescent="0.2">
      <c r="A121" s="4">
        <v>43800</v>
      </c>
      <c r="B121" s="2">
        <v>149.01</v>
      </c>
      <c r="C121" s="2">
        <v>70</v>
      </c>
    </row>
    <row r="122" spans="1:3" x14ac:dyDescent="0.2">
      <c r="A122" s="4">
        <v>43831</v>
      </c>
      <c r="B122" s="2">
        <v>149.72</v>
      </c>
      <c r="C122" s="2">
        <v>71.7</v>
      </c>
    </row>
    <row r="123" spans="1:3" x14ac:dyDescent="0.2">
      <c r="A123" s="4">
        <v>43862</v>
      </c>
      <c r="B123" s="2">
        <v>137.75</v>
      </c>
      <c r="C123" s="2">
        <v>72.739999999999995</v>
      </c>
    </row>
    <row r="124" spans="1:3" x14ac:dyDescent="0.2">
      <c r="A124" s="4">
        <v>43891</v>
      </c>
      <c r="B124" s="2">
        <v>118.03</v>
      </c>
      <c r="C124" s="2">
        <v>71.709999999999994</v>
      </c>
    </row>
    <row r="125" spans="1:3" x14ac:dyDescent="0.2">
      <c r="A125" s="4">
        <v>43922</v>
      </c>
      <c r="B125" s="2">
        <v>134.19999999999999</v>
      </c>
      <c r="C125" s="2">
        <v>73.67</v>
      </c>
    </row>
    <row r="126" spans="1:3" x14ac:dyDescent="0.2">
      <c r="A126" s="4">
        <v>43952</v>
      </c>
      <c r="B126" s="2">
        <v>141.44</v>
      </c>
      <c r="C126" s="2">
        <v>74.180000000000007</v>
      </c>
    </row>
    <row r="127" spans="1:3" x14ac:dyDescent="0.2">
      <c r="A127" s="4">
        <v>43983</v>
      </c>
      <c r="B127" s="2">
        <v>144.03</v>
      </c>
      <c r="C127" s="2">
        <v>74.680000000000007</v>
      </c>
    </row>
    <row r="128" spans="1:3" x14ac:dyDescent="0.2">
      <c r="A128" s="4">
        <v>44013</v>
      </c>
      <c r="B128" s="2">
        <v>153</v>
      </c>
      <c r="C128" s="2">
        <v>75.78</v>
      </c>
    </row>
    <row r="129" spans="1:3" x14ac:dyDescent="0.2">
      <c r="A129" s="4">
        <v>44044</v>
      </c>
      <c r="B129" s="2">
        <v>163.87</v>
      </c>
      <c r="C129" s="2">
        <v>75.069999999999993</v>
      </c>
    </row>
    <row r="130" spans="1:3" x14ac:dyDescent="0.2">
      <c r="A130" s="4">
        <v>44075</v>
      </c>
      <c r="B130" s="2">
        <v>157.43</v>
      </c>
      <c r="C130" s="2">
        <v>75</v>
      </c>
    </row>
    <row r="131" spans="1:3" x14ac:dyDescent="0.2">
      <c r="A131" s="4">
        <v>44105</v>
      </c>
      <c r="B131" s="2">
        <v>154.99</v>
      </c>
      <c r="C131" s="2">
        <v>74.58</v>
      </c>
    </row>
    <row r="132" spans="1:3" x14ac:dyDescent="0.2">
      <c r="A132" s="4">
        <v>44136</v>
      </c>
      <c r="B132" s="2">
        <v>173.29</v>
      </c>
      <c r="C132" s="2">
        <v>75.489999999999995</v>
      </c>
    </row>
    <row r="133" spans="1:3" x14ac:dyDescent="0.2">
      <c r="A133" s="4">
        <v>44166</v>
      </c>
      <c r="B133" s="2">
        <v>180.66</v>
      </c>
      <c r="C133" s="2">
        <v>75.36</v>
      </c>
    </row>
    <row r="134" spans="1:3" x14ac:dyDescent="0.2">
      <c r="A134" s="4">
        <v>44197</v>
      </c>
      <c r="B134" s="2">
        <v>180.78</v>
      </c>
      <c r="C134" s="2">
        <v>75.08</v>
      </c>
    </row>
    <row r="135" spans="1:3" x14ac:dyDescent="0.2">
      <c r="A135" s="4">
        <v>44228</v>
      </c>
      <c r="B135" s="2">
        <v>186.46</v>
      </c>
      <c r="C135" s="2">
        <v>73.8</v>
      </c>
    </row>
    <row r="136" spans="1:3" x14ac:dyDescent="0.2">
      <c r="A136" s="4">
        <v>44256</v>
      </c>
      <c r="B136" s="2">
        <v>192.62</v>
      </c>
      <c r="C136" s="2">
        <v>72.87</v>
      </c>
    </row>
    <row r="137" spans="1:3" x14ac:dyDescent="0.2">
      <c r="A137" s="4">
        <v>44287</v>
      </c>
      <c r="B137" s="2">
        <v>203</v>
      </c>
      <c r="C137" s="2">
        <v>73.44</v>
      </c>
    </row>
    <row r="138" spans="1:3" x14ac:dyDescent="0.2">
      <c r="A138" s="4">
        <v>44317</v>
      </c>
      <c r="B138" s="2">
        <v>203.92</v>
      </c>
      <c r="C138" s="2">
        <v>73.61</v>
      </c>
    </row>
    <row r="139" spans="1:3" x14ac:dyDescent="0.2">
      <c r="A139" s="4">
        <v>44348</v>
      </c>
      <c r="B139" s="2">
        <v>208.34</v>
      </c>
      <c r="C139" s="2">
        <v>74.27</v>
      </c>
    </row>
    <row r="140" spans="1:3" x14ac:dyDescent="0.2">
      <c r="A140" s="4">
        <v>44378</v>
      </c>
      <c r="B140" s="2">
        <v>212.61</v>
      </c>
      <c r="C140" s="2">
        <v>75.14</v>
      </c>
    </row>
    <row r="141" spans="1:3" x14ac:dyDescent="0.2">
      <c r="A141" s="4">
        <v>44409</v>
      </c>
      <c r="B141" s="2">
        <v>218.69</v>
      </c>
      <c r="C141" s="2">
        <v>74.989999999999995</v>
      </c>
    </row>
    <row r="142" spans="1:3" x14ac:dyDescent="0.2">
      <c r="A142" s="4">
        <v>44440</v>
      </c>
      <c r="B142" s="2">
        <v>208.27</v>
      </c>
      <c r="C142" s="2">
        <v>74.23</v>
      </c>
    </row>
    <row r="143" spans="1:3" x14ac:dyDescent="0.2">
      <c r="A143" s="4">
        <v>44470</v>
      </c>
      <c r="B143" s="2">
        <v>222.9</v>
      </c>
      <c r="C143" s="2">
        <v>74.290000000000006</v>
      </c>
    </row>
    <row r="144" spans="1:3" x14ac:dyDescent="0.2">
      <c r="A144" s="4">
        <v>44501</v>
      </c>
      <c r="B144" s="2">
        <v>219.64</v>
      </c>
      <c r="C144" s="2">
        <v>74.44</v>
      </c>
    </row>
    <row r="145" spans="1:3" x14ac:dyDescent="0.2">
      <c r="A145" s="4">
        <v>44531</v>
      </c>
      <c r="B145" s="2">
        <v>227.16</v>
      </c>
      <c r="C145" s="2">
        <v>73.97</v>
      </c>
    </row>
    <row r="146" spans="1:3" x14ac:dyDescent="0.2">
      <c r="A146" s="4">
        <v>44562</v>
      </c>
      <c r="B146" s="2">
        <v>214.16</v>
      </c>
      <c r="C146" s="2">
        <v>72.790000000000006</v>
      </c>
    </row>
    <row r="147" spans="1:3" x14ac:dyDescent="0.2">
      <c r="A147" s="4">
        <v>44593</v>
      </c>
      <c r="B147" s="2">
        <v>208.83</v>
      </c>
      <c r="C147" s="2">
        <v>71.84</v>
      </c>
    </row>
    <row r="148" spans="1:3" x14ac:dyDescent="0.2">
      <c r="A148" s="4">
        <v>44621</v>
      </c>
      <c r="B148" s="2">
        <v>214.97</v>
      </c>
      <c r="C148" s="2">
        <v>69.87</v>
      </c>
    </row>
    <row r="149" spans="1:3" x14ac:dyDescent="0.2">
      <c r="A149" s="4">
        <v>44652</v>
      </c>
      <c r="B149" s="2">
        <v>195.95</v>
      </c>
      <c r="C149" s="2">
        <v>67.03</v>
      </c>
    </row>
    <row r="150" spans="1:3" x14ac:dyDescent="0.2">
      <c r="A150" s="4">
        <v>44682</v>
      </c>
      <c r="B150" s="2">
        <v>195.46</v>
      </c>
      <c r="C150" s="2">
        <v>67.63</v>
      </c>
    </row>
    <row r="151" spans="1:3" x14ac:dyDescent="0.2">
      <c r="A151" s="4">
        <v>44713</v>
      </c>
      <c r="B151" s="2">
        <v>178.66</v>
      </c>
      <c r="C151" s="2">
        <v>66.5</v>
      </c>
    </row>
    <row r="152" spans="1:3" x14ac:dyDescent="0.2">
      <c r="A152" s="4">
        <v>44743</v>
      </c>
      <c r="B152" s="2">
        <v>196.14</v>
      </c>
      <c r="C152" s="2">
        <v>68.08</v>
      </c>
    </row>
    <row r="153" spans="1:3" x14ac:dyDescent="0.2">
      <c r="A153" s="4">
        <v>44774</v>
      </c>
      <c r="B153" s="2">
        <v>188.82</v>
      </c>
      <c r="C153" s="2">
        <v>66.180000000000007</v>
      </c>
    </row>
    <row r="154" spans="1:3" x14ac:dyDescent="0.2">
      <c r="A154" s="4">
        <v>44805</v>
      </c>
      <c r="B154" s="2">
        <v>170.67</v>
      </c>
      <c r="C154" s="2">
        <v>63.4</v>
      </c>
    </row>
    <row r="155" spans="1:3" x14ac:dyDescent="0.2">
      <c r="A155" s="4">
        <v>44835</v>
      </c>
      <c r="B155" s="2">
        <v>185.3</v>
      </c>
      <c r="C155" s="2">
        <v>62.66</v>
      </c>
    </row>
    <row r="156" spans="1:3" x14ac:dyDescent="0.2">
      <c r="A156" s="4">
        <v>44866</v>
      </c>
      <c r="B156" s="2">
        <v>194.88</v>
      </c>
      <c r="C156" s="2">
        <v>64.95</v>
      </c>
    </row>
    <row r="157" spans="1:3" x14ac:dyDescent="0.2">
      <c r="A157" s="4">
        <v>44896</v>
      </c>
      <c r="B157" s="2">
        <v>182.59</v>
      </c>
      <c r="C157" s="2">
        <v>64.28</v>
      </c>
    </row>
    <row r="158" spans="1:3" x14ac:dyDescent="0.2">
      <c r="A158" s="4">
        <v>44927</v>
      </c>
      <c r="B158" s="2">
        <v>196.17</v>
      </c>
      <c r="C158" s="2">
        <v>66.72</v>
      </c>
    </row>
    <row r="159" spans="1:3" x14ac:dyDescent="0.2">
      <c r="A159" s="4">
        <v>44958</v>
      </c>
      <c r="B159" s="2">
        <v>191.46</v>
      </c>
      <c r="C159" s="2">
        <v>64.78</v>
      </c>
    </row>
    <row r="160" spans="1:3" x14ac:dyDescent="0.2">
      <c r="A160" s="4">
        <v>44986</v>
      </c>
      <c r="B160" s="2">
        <v>195.85</v>
      </c>
      <c r="C160" s="2">
        <v>66.52</v>
      </c>
    </row>
    <row r="161" spans="1:3" x14ac:dyDescent="0.2">
      <c r="A161" s="4">
        <v>45017</v>
      </c>
      <c r="B161" s="2">
        <v>198.76</v>
      </c>
      <c r="C161" s="2">
        <v>66.900000000000006</v>
      </c>
    </row>
    <row r="162" spans="1:3" x14ac:dyDescent="0.2">
      <c r="A162" s="4">
        <v>45047</v>
      </c>
      <c r="B162" s="2">
        <v>199.61</v>
      </c>
      <c r="C162" s="2">
        <v>66.13</v>
      </c>
    </row>
    <row r="163" spans="1:3" x14ac:dyDescent="0.2">
      <c r="A163" s="4">
        <v>45078</v>
      </c>
      <c r="B163" s="2">
        <v>212.23</v>
      </c>
      <c r="C163" s="2">
        <v>65.97</v>
      </c>
    </row>
    <row r="164" spans="1:3" x14ac:dyDescent="0.2">
      <c r="A164" s="4">
        <v>45108</v>
      </c>
      <c r="B164" s="2">
        <v>220.85</v>
      </c>
      <c r="C164" s="2">
        <v>65.89</v>
      </c>
    </row>
    <row r="165" spans="1:3" x14ac:dyDescent="0.2">
      <c r="A165" s="4">
        <v>45139</v>
      </c>
      <c r="B165" s="2">
        <v>216.58</v>
      </c>
      <c r="C165" s="2">
        <v>65.45</v>
      </c>
    </row>
    <row r="166" spans="1:3" x14ac:dyDescent="0.2">
      <c r="A166" s="4">
        <v>45170</v>
      </c>
      <c r="B166" s="2">
        <v>205.43</v>
      </c>
      <c r="C166" s="2">
        <v>63.82</v>
      </c>
    </row>
    <row r="167" spans="1:3" x14ac:dyDescent="0.2">
      <c r="A167" s="4">
        <v>45200</v>
      </c>
      <c r="B167" s="2">
        <v>200.73</v>
      </c>
      <c r="C167" s="2">
        <v>62.85</v>
      </c>
    </row>
    <row r="168" spans="1:3" x14ac:dyDescent="0.2">
      <c r="A168" s="4">
        <v>45231</v>
      </c>
      <c r="B168" s="2">
        <v>219.63</v>
      </c>
      <c r="C168" s="2">
        <v>65.69</v>
      </c>
    </row>
    <row r="169" spans="1:3" x14ac:dyDescent="0.2">
      <c r="A169" s="4">
        <v>45261</v>
      </c>
      <c r="B169" s="2">
        <v>230.27</v>
      </c>
      <c r="C169" s="2">
        <v>67.84</v>
      </c>
    </row>
    <row r="170" spans="1:3" x14ac:dyDescent="0.2">
      <c r="A170" s="4">
        <v>45292</v>
      </c>
      <c r="B170" s="2">
        <v>233.84</v>
      </c>
      <c r="C170" s="2">
        <v>68.12</v>
      </c>
    </row>
    <row r="171" spans="1:3" x14ac:dyDescent="0.2">
      <c r="A171" s="4">
        <v>45323</v>
      </c>
      <c r="B171" s="2">
        <v>246.23</v>
      </c>
      <c r="C171" s="2">
        <v>66.989999999999995</v>
      </c>
    </row>
    <row r="172" spans="1:3" x14ac:dyDescent="0.2">
      <c r="A172" s="4">
        <v>45352</v>
      </c>
      <c r="B172" s="2">
        <v>253.36</v>
      </c>
      <c r="C172" s="2">
        <v>67.569999999999993</v>
      </c>
    </row>
    <row r="173" spans="1:3" x14ac:dyDescent="0.2">
      <c r="A173" s="4">
        <v>45383</v>
      </c>
      <c r="B173" s="2">
        <v>243.21</v>
      </c>
      <c r="C173" s="2">
        <v>65.930000000000007</v>
      </c>
    </row>
    <row r="174" spans="1:3" x14ac:dyDescent="0.2">
      <c r="A174" s="4">
        <v>45413</v>
      </c>
      <c r="B174" s="2">
        <v>254.78</v>
      </c>
      <c r="C174" s="2">
        <v>67.03</v>
      </c>
    </row>
    <row r="175" spans="1:3" x14ac:dyDescent="0.2">
      <c r="A175" s="4">
        <v>45444</v>
      </c>
      <c r="B175" s="2">
        <v>261.7</v>
      </c>
      <c r="C175" s="2">
        <v>67.62</v>
      </c>
    </row>
    <row r="176" spans="1:3" x14ac:dyDescent="0.2">
      <c r="A176" s="4">
        <v>45474</v>
      </c>
      <c r="B176" s="2">
        <v>267.58999999999997</v>
      </c>
      <c r="C176" s="2">
        <v>69.209999999999994</v>
      </c>
    </row>
    <row r="177" spans="1:3" x14ac:dyDescent="0.2">
      <c r="A177" s="4">
        <v>45505</v>
      </c>
      <c r="B177" s="2">
        <v>273.3</v>
      </c>
      <c r="C177" s="2">
        <v>70.22</v>
      </c>
    </row>
    <row r="178" spans="1:3" x14ac:dyDescent="0.2">
      <c r="A178" s="4">
        <v>45536</v>
      </c>
      <c r="B178" s="2">
        <v>277.99</v>
      </c>
      <c r="C178" s="2">
        <v>71.150000000000006</v>
      </c>
    </row>
    <row r="179" spans="1:3" x14ac:dyDescent="0.2">
      <c r="A179" s="4">
        <v>45566</v>
      </c>
      <c r="B179" s="2">
        <v>276.75</v>
      </c>
      <c r="C179" s="2">
        <v>69.41</v>
      </c>
    </row>
    <row r="180" spans="1:3" x14ac:dyDescent="0.2">
      <c r="A180" s="4">
        <v>45597</v>
      </c>
      <c r="B180" s="2">
        <v>295.29000000000002</v>
      </c>
      <c r="C180" s="2">
        <v>70.13</v>
      </c>
    </row>
    <row r="181" spans="1:3" x14ac:dyDescent="0.2">
      <c r="A181" s="4">
        <v>45627</v>
      </c>
      <c r="B181" s="2">
        <v>285.39999999999998</v>
      </c>
      <c r="C181" s="2">
        <v>68.739999999999995</v>
      </c>
    </row>
    <row r="182" spans="1:3" x14ac:dyDescent="0.2">
      <c r="A182" s="4">
        <v>45658</v>
      </c>
      <c r="B182" s="2">
        <v>295</v>
      </c>
      <c r="C182" s="2">
        <v>69.58</v>
      </c>
    </row>
    <row r="183" spans="1:3" x14ac:dyDescent="0.2">
      <c r="A183" s="4">
        <v>45689</v>
      </c>
      <c r="B183" s="2">
        <v>289.43</v>
      </c>
      <c r="C183" s="2">
        <v>70.849999999999994</v>
      </c>
    </row>
    <row r="184" spans="1:3" x14ac:dyDescent="0.2">
      <c r="A184" s="4">
        <v>45717</v>
      </c>
      <c r="B184" s="2">
        <v>271.52999999999997</v>
      </c>
      <c r="C184" s="2">
        <v>70.88</v>
      </c>
    </row>
    <row r="185" spans="1:3" x14ac:dyDescent="0.2">
      <c r="A185" s="4">
        <v>45748</v>
      </c>
      <c r="B185" s="2">
        <v>270.48</v>
      </c>
      <c r="C185" s="2">
        <v>71.14</v>
      </c>
    </row>
    <row r="186" spans="1:3" x14ac:dyDescent="0.2">
      <c r="A186" s="4">
        <v>45778</v>
      </c>
      <c r="B186" s="2">
        <v>287.39</v>
      </c>
      <c r="C186" s="2">
        <v>70.67</v>
      </c>
    </row>
    <row r="187" spans="1:3" x14ac:dyDescent="0.2">
      <c r="A187" s="4">
        <v>45809</v>
      </c>
      <c r="B187" s="2">
        <v>301.32</v>
      </c>
      <c r="C187" s="2">
        <v>71.73</v>
      </c>
    </row>
    <row r="188" spans="1:3" x14ac:dyDescent="0.2">
      <c r="A188" s="4">
        <v>45839</v>
      </c>
      <c r="B188" s="2">
        <v>309.14999999999998</v>
      </c>
      <c r="C188" s="2">
        <v>71.55</v>
      </c>
    </row>
    <row r="189" spans="1:3" x14ac:dyDescent="0.2">
      <c r="A189" s="4">
        <v>45870</v>
      </c>
      <c r="B189" s="2">
        <v>316.42</v>
      </c>
      <c r="C189" s="2">
        <v>72.37</v>
      </c>
    </row>
    <row r="190" spans="1:3" x14ac:dyDescent="0.2">
      <c r="A190" s="4">
        <v>45901</v>
      </c>
      <c r="B190" s="2">
        <v>326.33</v>
      </c>
      <c r="C190" s="2">
        <v>73.17</v>
      </c>
    </row>
    <row r="191" spans="1:3" x14ac:dyDescent="0.2">
      <c r="A191" s="4">
        <v>45931</v>
      </c>
      <c r="B191" s="2">
        <v>334.47</v>
      </c>
      <c r="C191" s="2">
        <v>73.62</v>
      </c>
    </row>
    <row r="192" spans="1:3" x14ac:dyDescent="0.2">
      <c r="A192" s="4">
        <v>45962</v>
      </c>
      <c r="B192" s="2">
        <v>335.36</v>
      </c>
      <c r="C192" s="2">
        <v>74.05</v>
      </c>
    </row>
    <row r="193" spans="1:3" x14ac:dyDescent="0.2">
      <c r="A193" s="4">
        <v>45992</v>
      </c>
      <c r="B193" s="2">
        <v>334.32</v>
      </c>
      <c r="C193" s="2">
        <v>73.59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5578-4C35-8C41-928B-F66F94BC835D}">
  <dimension ref="A1:C193"/>
  <sheetViews>
    <sheetView workbookViewId="0">
      <selection activeCell="E190" sqref="E190"/>
    </sheetView>
  </sheetViews>
  <sheetFormatPr baseColWidth="10" defaultRowHeight="16" x14ac:dyDescent="0.2"/>
  <cols>
    <col min="1" max="1" width="12.33203125" bestFit="1" customWidth="1"/>
    <col min="2" max="2" width="10.83203125" style="1"/>
    <col min="3" max="3" width="13" customWidth="1"/>
  </cols>
  <sheetData>
    <row r="1" spans="1:3" x14ac:dyDescent="0.2">
      <c r="A1" s="4" t="s">
        <v>0</v>
      </c>
      <c r="B1" s="3" t="s">
        <v>3</v>
      </c>
      <c r="C1" s="2" t="s">
        <v>4</v>
      </c>
    </row>
    <row r="2" spans="1:3" x14ac:dyDescent="0.2">
      <c r="A2" s="4">
        <v>40179</v>
      </c>
      <c r="B2" s="3">
        <v>0</v>
      </c>
      <c r="C2" s="3">
        <v>0</v>
      </c>
    </row>
    <row r="3" spans="1:3" x14ac:dyDescent="0.2">
      <c r="A3" s="4">
        <v>40210</v>
      </c>
      <c r="B3" s="3">
        <v>3.4390243902438833E-2</v>
      </c>
      <c r="C3" s="3">
        <v>2.0052135552450778E-4</v>
      </c>
    </row>
    <row r="4" spans="1:3" x14ac:dyDescent="0.2">
      <c r="A4" s="4">
        <v>40238</v>
      </c>
      <c r="B4" s="3">
        <v>5.9655741570384446E-2</v>
      </c>
      <c r="C4" s="3">
        <v>-2.0048115477145911E-3</v>
      </c>
    </row>
    <row r="5" spans="1:3" x14ac:dyDescent="0.2">
      <c r="A5" s="4">
        <v>40269</v>
      </c>
      <c r="B5" s="3">
        <v>2.5812194036493263E-2</v>
      </c>
      <c r="C5" s="3">
        <v>1.0445962233828876E-2</v>
      </c>
    </row>
    <row r="6" spans="1:3" x14ac:dyDescent="0.2">
      <c r="A6" s="4">
        <v>40299</v>
      </c>
      <c r="B6" s="3">
        <v>-7.8741865509761477E-2</v>
      </c>
      <c r="C6" s="3">
        <v>1.1332007952286283E-2</v>
      </c>
    </row>
    <row r="7" spans="1:3" x14ac:dyDescent="0.2">
      <c r="A7" s="4">
        <v>40330</v>
      </c>
      <c r="B7" s="3">
        <v>-6.2867906757711367E-2</v>
      </c>
      <c r="C7" s="3">
        <v>1.4546884214664768E-2</v>
      </c>
    </row>
    <row r="8" spans="1:3" x14ac:dyDescent="0.2">
      <c r="A8" s="4">
        <v>40360</v>
      </c>
      <c r="B8" s="3">
        <v>7.512562814070356E-2</v>
      </c>
      <c r="C8" s="3">
        <v>8.9130013563263333E-3</v>
      </c>
    </row>
    <row r="9" spans="1:3" x14ac:dyDescent="0.2">
      <c r="A9" s="4">
        <v>40391</v>
      </c>
      <c r="B9" s="3">
        <v>-4.697359196073847E-2</v>
      </c>
      <c r="C9" s="3">
        <v>1.5555982331476814E-2</v>
      </c>
    </row>
    <row r="10" spans="1:3" x14ac:dyDescent="0.2">
      <c r="A10" s="4">
        <v>40422</v>
      </c>
      <c r="B10" s="3">
        <v>8.9014222658165609E-2</v>
      </c>
      <c r="C10" s="3">
        <v>0</v>
      </c>
    </row>
    <row r="11" spans="1:3" x14ac:dyDescent="0.2">
      <c r="A11" s="4">
        <v>40452</v>
      </c>
      <c r="B11" s="3">
        <v>4.5485251069578903E-2</v>
      </c>
      <c r="C11" s="3">
        <v>3.2148260211799506E-3</v>
      </c>
    </row>
    <row r="12" spans="1:3" x14ac:dyDescent="0.2">
      <c r="A12" s="4">
        <v>40483</v>
      </c>
      <c r="B12" s="3">
        <v>5.1690717208701109E-3</v>
      </c>
      <c r="C12" s="3">
        <v>-6.9745523091422346E-3</v>
      </c>
    </row>
    <row r="13" spans="1:3" x14ac:dyDescent="0.2">
      <c r="A13" s="4">
        <v>40513</v>
      </c>
      <c r="B13" s="3">
        <v>6.3852581958431465E-2</v>
      </c>
      <c r="C13" s="3">
        <v>-1.727410782080474E-2</v>
      </c>
    </row>
    <row r="14" spans="1:3" x14ac:dyDescent="0.2">
      <c r="A14" s="4">
        <v>40544</v>
      </c>
      <c r="B14" s="3">
        <v>2.5981873111782461E-2</v>
      </c>
      <c r="C14" s="3">
        <v>1.1010237589337502E-2</v>
      </c>
    </row>
    <row r="15" spans="1:3" x14ac:dyDescent="0.2">
      <c r="A15" s="4">
        <v>40575</v>
      </c>
      <c r="B15" s="3">
        <v>3.7102473498233257E-2</v>
      </c>
      <c r="C15" s="3">
        <v>0</v>
      </c>
    </row>
    <row r="16" spans="1:3" x14ac:dyDescent="0.2">
      <c r="A16" s="4">
        <v>40603</v>
      </c>
      <c r="B16" s="3">
        <v>0</v>
      </c>
      <c r="C16" s="3">
        <v>-1.3374092472296928E-3</v>
      </c>
    </row>
    <row r="17" spans="1:3" x14ac:dyDescent="0.2">
      <c r="A17" s="4">
        <v>40634</v>
      </c>
      <c r="B17" s="3">
        <v>3.3125118303994006E-2</v>
      </c>
      <c r="C17" s="3">
        <v>1.453988903768888E-2</v>
      </c>
    </row>
    <row r="18" spans="1:3" x14ac:dyDescent="0.2">
      <c r="A18" s="4">
        <v>40664</v>
      </c>
      <c r="B18" s="3">
        <v>-1.0626603151337455E-2</v>
      </c>
      <c r="C18" s="3">
        <v>1.1880067886102186E-2</v>
      </c>
    </row>
    <row r="19" spans="1:3" x14ac:dyDescent="0.2">
      <c r="A19" s="4">
        <v>40695</v>
      </c>
      <c r="B19" s="3">
        <v>-2.2037037037036966E-2</v>
      </c>
      <c r="C19" s="3">
        <v>-3.7271710771523692E-3</v>
      </c>
    </row>
    <row r="20" spans="1:3" x14ac:dyDescent="0.2">
      <c r="A20" s="4">
        <v>40725</v>
      </c>
      <c r="B20" s="3">
        <v>-1.8557091459950881E-2</v>
      </c>
      <c r="C20" s="3">
        <v>1.6273849607182811E-2</v>
      </c>
    </row>
    <row r="21" spans="1:3" x14ac:dyDescent="0.2">
      <c r="A21" s="4">
        <v>40756</v>
      </c>
      <c r="B21" s="3">
        <v>-6.0775612579587079E-2</v>
      </c>
      <c r="C21" s="3">
        <v>1.6565433462175649E-2</v>
      </c>
    </row>
    <row r="22" spans="1:3" x14ac:dyDescent="0.2">
      <c r="A22" s="4">
        <v>40787</v>
      </c>
      <c r="B22" s="3">
        <v>-8.0731306491372168E-2</v>
      </c>
      <c r="C22" s="3">
        <v>6.8803186673909167E-3</v>
      </c>
    </row>
    <row r="23" spans="1:3" x14ac:dyDescent="0.2">
      <c r="A23" s="4">
        <v>40817</v>
      </c>
      <c r="B23" s="3">
        <v>0.11955307262569836</v>
      </c>
      <c r="C23" s="3">
        <v>1.0789426362165511E-3</v>
      </c>
    </row>
    <row r="24" spans="1:3" x14ac:dyDescent="0.2">
      <c r="A24" s="4">
        <v>40848</v>
      </c>
      <c r="B24" s="3">
        <v>-3.5928143712574689E-3</v>
      </c>
      <c r="C24" s="3">
        <v>-5.3888988683314931E-4</v>
      </c>
    </row>
    <row r="25" spans="1:3" x14ac:dyDescent="0.2">
      <c r="A25" s="4">
        <v>40878</v>
      </c>
      <c r="B25" s="3">
        <v>4.0064102564101312E-3</v>
      </c>
      <c r="C25" s="3">
        <v>4.6728971962617383E-3</v>
      </c>
    </row>
    <row r="26" spans="1:3" x14ac:dyDescent="0.2">
      <c r="A26" s="4">
        <v>40909</v>
      </c>
      <c r="B26" s="3">
        <v>5.6664006384676835E-2</v>
      </c>
      <c r="C26" s="3">
        <v>1.610017889087656E-2</v>
      </c>
    </row>
    <row r="27" spans="1:3" x14ac:dyDescent="0.2">
      <c r="A27" s="4">
        <v>40940</v>
      </c>
      <c r="B27" s="3">
        <v>4.2107250755286874E-2</v>
      </c>
      <c r="C27" s="3">
        <v>-2.1126760563380254E-3</v>
      </c>
    </row>
    <row r="28" spans="1:3" x14ac:dyDescent="0.2">
      <c r="A28" s="4">
        <v>40969</v>
      </c>
      <c r="B28" s="3">
        <v>2.627287552092783E-2</v>
      </c>
      <c r="C28" s="3">
        <v>-4.9400141143260967E-3</v>
      </c>
    </row>
    <row r="29" spans="1:3" x14ac:dyDescent="0.2">
      <c r="A29" s="4">
        <v>41000</v>
      </c>
      <c r="B29" s="3">
        <v>-2.1186440677966045E-3</v>
      </c>
      <c r="C29" s="3">
        <v>9.9290780141845225E-3</v>
      </c>
    </row>
    <row r="30" spans="1:3" x14ac:dyDescent="0.2">
      <c r="A30" s="4">
        <v>41030</v>
      </c>
      <c r="B30" s="3">
        <v>-6.2101910828025519E-2</v>
      </c>
      <c r="C30" s="3">
        <v>1.0533707865168607E-2</v>
      </c>
    </row>
    <row r="31" spans="1:3" x14ac:dyDescent="0.2">
      <c r="A31" s="4">
        <v>41061</v>
      </c>
      <c r="B31" s="3">
        <v>3.5087719298245501E-2</v>
      </c>
      <c r="C31" s="3">
        <v>6.9492703266149647E-4</v>
      </c>
    </row>
    <row r="32" spans="1:3" x14ac:dyDescent="0.2">
      <c r="A32" s="4">
        <v>41091</v>
      </c>
      <c r="B32" s="3">
        <v>1.3850920357208141E-2</v>
      </c>
      <c r="C32" s="3">
        <v>1.2326388888888928E-2</v>
      </c>
    </row>
    <row r="33" spans="1:3" x14ac:dyDescent="0.2">
      <c r="A33" s="4">
        <v>41122</v>
      </c>
      <c r="B33" s="3">
        <v>2.7143627539097492E-2</v>
      </c>
      <c r="C33" s="3">
        <v>1.5434745326701194E-3</v>
      </c>
    </row>
    <row r="34" spans="1:3" x14ac:dyDescent="0.2">
      <c r="A34" s="4">
        <v>41153</v>
      </c>
      <c r="B34" s="3">
        <v>1.9775988799439981E-2</v>
      </c>
      <c r="C34" s="3">
        <v>1.8835616438355185E-3</v>
      </c>
    </row>
    <row r="35" spans="1:3" x14ac:dyDescent="0.2">
      <c r="A35" s="4">
        <v>41183</v>
      </c>
      <c r="B35" s="3">
        <v>-1.3214347005320093E-2</v>
      </c>
      <c r="C35" s="3">
        <v>-8.5455477696116944E-4</v>
      </c>
    </row>
    <row r="36" spans="1:3" x14ac:dyDescent="0.2">
      <c r="A36" s="4">
        <v>41214</v>
      </c>
      <c r="B36" s="3">
        <v>7.8260869565218716E-3</v>
      </c>
      <c r="C36" s="3">
        <v>2.5658569962367928E-3</v>
      </c>
    </row>
    <row r="37" spans="1:3" x14ac:dyDescent="0.2">
      <c r="A37" s="4">
        <v>41244</v>
      </c>
      <c r="B37" s="3">
        <v>5.3494391716997214E-3</v>
      </c>
      <c r="C37" s="3">
        <v>-1.074901893874769E-2</v>
      </c>
    </row>
    <row r="38" spans="1:3" x14ac:dyDescent="0.2">
      <c r="A38" s="4">
        <v>41275</v>
      </c>
      <c r="B38" s="3">
        <v>6.2135255750085827E-2</v>
      </c>
      <c r="C38" s="3">
        <v>-4.8292514660226438E-3</v>
      </c>
    </row>
    <row r="39" spans="1:3" x14ac:dyDescent="0.2">
      <c r="A39" s="4">
        <v>41306</v>
      </c>
      <c r="B39" s="3">
        <v>1.2766645119586251E-2</v>
      </c>
      <c r="C39" s="3">
        <v>3.292894280762626E-3</v>
      </c>
    </row>
    <row r="40" spans="1:3" x14ac:dyDescent="0.2">
      <c r="A40" s="4">
        <v>41334</v>
      </c>
      <c r="B40" s="3">
        <v>3.4785383756183119E-2</v>
      </c>
      <c r="C40" s="3">
        <v>8.6370703057525589E-4</v>
      </c>
    </row>
    <row r="41" spans="1:3" x14ac:dyDescent="0.2">
      <c r="A41" s="4">
        <v>41365</v>
      </c>
      <c r="B41" s="3">
        <v>2.0663068619892089E-2</v>
      </c>
      <c r="C41" s="3">
        <v>8.4570245081119211E-3</v>
      </c>
    </row>
    <row r="42" spans="1:3" x14ac:dyDescent="0.2">
      <c r="A42" s="4">
        <v>41395</v>
      </c>
      <c r="B42" s="3">
        <v>2.4474996222994427E-2</v>
      </c>
      <c r="C42" s="3">
        <v>-1.7627930857436303E-2</v>
      </c>
    </row>
    <row r="43" spans="1:3" x14ac:dyDescent="0.2">
      <c r="A43" s="4">
        <v>41426</v>
      </c>
      <c r="B43" s="3">
        <v>-1.9023742810794997E-2</v>
      </c>
      <c r="C43" s="3">
        <v>-1.6550522648083543E-2</v>
      </c>
    </row>
    <row r="44" spans="1:3" x14ac:dyDescent="0.2">
      <c r="A44" s="4">
        <v>41456</v>
      </c>
      <c r="B44" s="3">
        <v>6.2387251954299616E-2</v>
      </c>
      <c r="C44" s="3">
        <v>3.7201062887510794E-3</v>
      </c>
    </row>
    <row r="45" spans="1:3" x14ac:dyDescent="0.2">
      <c r="A45" s="4">
        <v>41487</v>
      </c>
      <c r="B45" s="3">
        <v>-3.0281590491014532E-2</v>
      </c>
      <c r="C45" s="3">
        <v>-8.4715848923402337E-3</v>
      </c>
    </row>
    <row r="46" spans="1:3" x14ac:dyDescent="0.2">
      <c r="A46" s="4">
        <v>41518</v>
      </c>
      <c r="B46" s="3">
        <v>3.3999708157011588E-2</v>
      </c>
      <c r="C46" s="3">
        <v>1.103595585617656E-2</v>
      </c>
    </row>
    <row r="47" spans="1:3" x14ac:dyDescent="0.2">
      <c r="A47" s="4">
        <v>41548</v>
      </c>
      <c r="B47" s="3">
        <v>4.7699689528647893E-2</v>
      </c>
      <c r="C47" s="3">
        <v>8.4507042253521014E-3</v>
      </c>
    </row>
    <row r="48" spans="1:3" x14ac:dyDescent="0.2">
      <c r="A48" s="4">
        <v>41579</v>
      </c>
      <c r="B48" s="3">
        <v>2.7074353448276023E-2</v>
      </c>
      <c r="C48" s="3">
        <v>-2.9678770949721489E-3</v>
      </c>
    </row>
    <row r="49" spans="1:3" x14ac:dyDescent="0.2">
      <c r="A49" s="4">
        <v>41609</v>
      </c>
      <c r="B49" s="3">
        <v>2.1901639344262369E-2</v>
      </c>
      <c r="C49" s="3">
        <v>-9.280336193311145E-3</v>
      </c>
    </row>
    <row r="50" spans="1:3" x14ac:dyDescent="0.2">
      <c r="A50" s="4">
        <v>41640</v>
      </c>
      <c r="B50" s="3">
        <v>-2.6565708418891276E-2</v>
      </c>
      <c r="C50" s="3">
        <v>2.067868504772008E-2</v>
      </c>
    </row>
    <row r="51" spans="1:3" x14ac:dyDescent="0.2">
      <c r="A51" s="4">
        <v>41671</v>
      </c>
      <c r="B51" s="3">
        <v>4.8648648648648818E-2</v>
      </c>
      <c r="C51" s="3">
        <v>2.5974025974024872E-3</v>
      </c>
    </row>
    <row r="52" spans="1:3" x14ac:dyDescent="0.2">
      <c r="A52" s="4">
        <v>41699</v>
      </c>
      <c r="B52" s="3">
        <v>6.2861453356788388E-4</v>
      </c>
      <c r="C52" s="3">
        <v>-1.7271157167529916E-3</v>
      </c>
    </row>
    <row r="53" spans="1:3" x14ac:dyDescent="0.2">
      <c r="A53" s="4">
        <v>41730</v>
      </c>
      <c r="B53" s="3">
        <v>5.0257570046488009E-3</v>
      </c>
      <c r="C53" s="3">
        <v>7.7854671280277454E-3</v>
      </c>
    </row>
    <row r="54" spans="1:3" x14ac:dyDescent="0.2">
      <c r="A54" s="4">
        <v>41760</v>
      </c>
      <c r="B54" s="3">
        <v>2.1002625328166102E-2</v>
      </c>
      <c r="C54" s="3">
        <v>1.0815450643776758E-2</v>
      </c>
    </row>
    <row r="55" spans="1:3" x14ac:dyDescent="0.2">
      <c r="A55" s="4">
        <v>41791</v>
      </c>
      <c r="B55" s="3">
        <v>2.2039916738092247E-2</v>
      </c>
      <c r="C55" s="3">
        <v>8.4918478260864738E-4</v>
      </c>
    </row>
    <row r="56" spans="1:3" x14ac:dyDescent="0.2">
      <c r="A56" s="4">
        <v>41821</v>
      </c>
      <c r="B56" s="3">
        <v>-1.5933868455732525E-2</v>
      </c>
      <c r="C56" s="3">
        <v>-2.7150856948922053E-3</v>
      </c>
    </row>
    <row r="57" spans="1:3" x14ac:dyDescent="0.2">
      <c r="A57" s="4">
        <v>41852</v>
      </c>
      <c r="B57" s="3">
        <v>4.1514487460433402E-2</v>
      </c>
      <c r="C57" s="3">
        <v>1.1400374340649888E-2</v>
      </c>
    </row>
    <row r="58" spans="1:3" x14ac:dyDescent="0.2">
      <c r="A58" s="4">
        <v>41883</v>
      </c>
      <c r="B58" s="3">
        <v>-2.5365283459964916E-2</v>
      </c>
      <c r="C58" s="3">
        <v>-5.7200538358007647E-3</v>
      </c>
    </row>
    <row r="59" spans="1:3" x14ac:dyDescent="0.2">
      <c r="A59" s="4">
        <v>41913</v>
      </c>
      <c r="B59" s="3">
        <v>3.2142000479731481E-2</v>
      </c>
      <c r="C59" s="3">
        <v>7.2758037225042482E-3</v>
      </c>
    </row>
    <row r="60" spans="1:3" x14ac:dyDescent="0.2">
      <c r="A60" s="4">
        <v>41944</v>
      </c>
      <c r="B60" s="3">
        <v>2.4750174297001992E-2</v>
      </c>
      <c r="C60" s="3">
        <v>8.2311439610280868E-3</v>
      </c>
    </row>
    <row r="61" spans="1:3" x14ac:dyDescent="0.2">
      <c r="A61" s="4">
        <v>41974</v>
      </c>
      <c r="B61" s="3">
        <v>-5.5561855085609624E-3</v>
      </c>
      <c r="C61" s="3">
        <v>-3.9986671109630834E-3</v>
      </c>
    </row>
    <row r="62" spans="1:3" x14ac:dyDescent="0.2">
      <c r="A62" s="4">
        <v>42005</v>
      </c>
      <c r="B62" s="3">
        <v>-2.2234891676168766E-2</v>
      </c>
      <c r="C62" s="3">
        <v>3.0946804951488716E-2</v>
      </c>
    </row>
    <row r="63" spans="1:3" x14ac:dyDescent="0.2">
      <c r="A63" s="4">
        <v>42036</v>
      </c>
      <c r="B63" s="3">
        <v>5.7376093294460695E-2</v>
      </c>
      <c r="C63" s="3">
        <v>-1.5090053545351312E-2</v>
      </c>
    </row>
    <row r="64" spans="1:3" x14ac:dyDescent="0.2">
      <c r="A64" s="4">
        <v>42064</v>
      </c>
      <c r="B64" s="3">
        <v>-1.6212639241204307E-2</v>
      </c>
      <c r="C64" s="3">
        <v>5.6013179571663407E-3</v>
      </c>
    </row>
    <row r="65" spans="1:3" x14ac:dyDescent="0.2">
      <c r="A65" s="4">
        <v>42095</v>
      </c>
      <c r="B65" s="3">
        <v>1.0874439461883378E-2</v>
      </c>
      <c r="C65" s="3">
        <v>-3.6041939711664028E-3</v>
      </c>
    </row>
    <row r="66" spans="1:3" x14ac:dyDescent="0.2">
      <c r="A66" s="4">
        <v>42125</v>
      </c>
      <c r="B66" s="3">
        <v>1.2975490739713935E-2</v>
      </c>
      <c r="C66" s="3">
        <v>-4.6037487668529886E-3</v>
      </c>
    </row>
    <row r="67" spans="1:3" x14ac:dyDescent="0.2">
      <c r="A67" s="4">
        <v>42156</v>
      </c>
      <c r="B67" s="3">
        <v>-2.1020363477118442E-2</v>
      </c>
      <c r="C67" s="3">
        <v>-1.1232243145028131E-2</v>
      </c>
    </row>
    <row r="68" spans="1:3" x14ac:dyDescent="0.2">
      <c r="A68" s="4">
        <v>42186</v>
      </c>
      <c r="B68" s="3">
        <v>2.147170655334385E-2</v>
      </c>
      <c r="C68" s="3">
        <v>8.8539926495154742E-3</v>
      </c>
    </row>
    <row r="69" spans="1:3" x14ac:dyDescent="0.2">
      <c r="A69" s="4">
        <v>42217</v>
      </c>
      <c r="B69" s="3">
        <v>-6.0980950295598912E-2</v>
      </c>
      <c r="C69" s="3">
        <v>-2.6494452723961892E-3</v>
      </c>
    </row>
    <row r="70" spans="1:3" x14ac:dyDescent="0.2">
      <c r="A70" s="4">
        <v>42248</v>
      </c>
      <c r="B70" s="3">
        <v>-3.4161128599743407E-2</v>
      </c>
      <c r="C70" s="3">
        <v>8.135480657479599E-3</v>
      </c>
    </row>
    <row r="71" spans="1:3" x14ac:dyDescent="0.2">
      <c r="A71" s="4">
        <v>42278</v>
      </c>
      <c r="B71" s="3">
        <v>8.4620956059874297E-2</v>
      </c>
      <c r="C71" s="3">
        <v>3.2938076416333395E-4</v>
      </c>
    </row>
    <row r="72" spans="1:3" x14ac:dyDescent="0.2">
      <c r="A72" s="4">
        <v>42309</v>
      </c>
      <c r="B72" s="3">
        <v>6.0100166944909716E-3</v>
      </c>
      <c r="C72" s="3">
        <v>-3.9512676983866069E-3</v>
      </c>
    </row>
    <row r="73" spans="1:3" x14ac:dyDescent="0.2">
      <c r="A73" s="4">
        <v>42339</v>
      </c>
      <c r="B73" s="3">
        <v>-2.6772873105432082E-2</v>
      </c>
      <c r="C73" s="3">
        <v>-4.6280991735537791E-3</v>
      </c>
    </row>
    <row r="74" spans="1:3" x14ac:dyDescent="0.2">
      <c r="A74" s="4">
        <v>42370</v>
      </c>
      <c r="B74" s="3">
        <v>-5.1835853131749432E-2</v>
      </c>
      <c r="C74" s="3">
        <v>1.693789438724691E-2</v>
      </c>
    </row>
    <row r="75" spans="1:3" x14ac:dyDescent="0.2">
      <c r="A75" s="4">
        <v>42401</v>
      </c>
      <c r="B75" s="3">
        <v>-1.1988970147458478E-4</v>
      </c>
      <c r="C75" s="3">
        <v>6.368386675375648E-3</v>
      </c>
    </row>
    <row r="76" spans="1:3" x14ac:dyDescent="0.2">
      <c r="A76" s="4">
        <v>42430</v>
      </c>
      <c r="B76" s="3">
        <v>6.606714628297361E-2</v>
      </c>
      <c r="C76" s="3">
        <v>9.086483855265115E-3</v>
      </c>
    </row>
    <row r="77" spans="1:3" x14ac:dyDescent="0.2">
      <c r="A77" s="4">
        <v>42461</v>
      </c>
      <c r="B77" s="3">
        <v>1.1359802047013812E-2</v>
      </c>
      <c r="C77" s="3">
        <v>3.8591413410515862E-3</v>
      </c>
    </row>
    <row r="78" spans="1:3" x14ac:dyDescent="0.2">
      <c r="A78" s="4">
        <v>42491</v>
      </c>
      <c r="B78" s="3">
        <v>1.7348754448398562E-2</v>
      </c>
      <c r="C78" s="3">
        <v>0</v>
      </c>
    </row>
    <row r="79" spans="1:3" x14ac:dyDescent="0.2">
      <c r="A79" s="4">
        <v>42522</v>
      </c>
      <c r="B79" s="3">
        <v>-1.7490161783997316E-3</v>
      </c>
      <c r="C79" s="3">
        <v>2.0182604517059E-2</v>
      </c>
    </row>
    <row r="80" spans="1:3" x14ac:dyDescent="0.2">
      <c r="A80" s="4">
        <v>42552</v>
      </c>
      <c r="B80" s="3">
        <v>4.4349540078843841E-2</v>
      </c>
      <c r="C80" s="3">
        <v>6.1234102684879499E-3</v>
      </c>
    </row>
    <row r="81" spans="1:3" x14ac:dyDescent="0.2">
      <c r="A81" s="4">
        <v>42583</v>
      </c>
      <c r="B81" s="3">
        <v>2.0970955227008758E-3</v>
      </c>
      <c r="C81" s="3">
        <v>-3.1210986267165008E-3</v>
      </c>
    </row>
    <row r="82" spans="1:3" x14ac:dyDescent="0.2">
      <c r="A82" s="4">
        <v>42614</v>
      </c>
      <c r="B82" s="3">
        <v>-2.8251543371350385E-3</v>
      </c>
      <c r="C82" s="3">
        <v>1.095804633688191E-3</v>
      </c>
    </row>
    <row r="83" spans="1:3" x14ac:dyDescent="0.2">
      <c r="A83" s="4">
        <v>42644</v>
      </c>
      <c r="B83" s="3">
        <v>-1.7208814270724071E-2</v>
      </c>
      <c r="C83" s="3">
        <v>-9.3823299452697739E-3</v>
      </c>
    </row>
    <row r="84" spans="1:3" x14ac:dyDescent="0.2">
      <c r="A84" s="4">
        <v>42675</v>
      </c>
      <c r="B84" s="3">
        <v>4.4949818492419524E-2</v>
      </c>
      <c r="C84" s="3">
        <v>-2.5730071033938429E-2</v>
      </c>
    </row>
    <row r="85" spans="1:3" x14ac:dyDescent="0.2">
      <c r="A85" s="4">
        <v>42705</v>
      </c>
      <c r="B85" s="3">
        <v>1.3487279043629341E-2</v>
      </c>
      <c r="C85" s="3">
        <v>6.480881399870686E-4</v>
      </c>
    </row>
    <row r="86" spans="1:3" x14ac:dyDescent="0.2">
      <c r="A86" s="4">
        <v>42736</v>
      </c>
      <c r="B86" s="3">
        <v>2.4901703800786379E-2</v>
      </c>
      <c r="C86" s="3">
        <v>6.4766839378238572E-3</v>
      </c>
    </row>
    <row r="87" spans="1:3" x14ac:dyDescent="0.2">
      <c r="A87" s="4">
        <v>42767</v>
      </c>
      <c r="B87" s="3">
        <v>3.6986031870942515E-2</v>
      </c>
      <c r="C87" s="3">
        <v>4.0218790218791156E-3</v>
      </c>
    </row>
    <row r="88" spans="1:3" x14ac:dyDescent="0.2">
      <c r="A88" s="4">
        <v>42795</v>
      </c>
      <c r="B88" s="3">
        <v>-3.889205084424141E-3</v>
      </c>
      <c r="C88" s="3">
        <v>-1.6023073225446272E-4</v>
      </c>
    </row>
    <row r="89" spans="1:3" x14ac:dyDescent="0.2">
      <c r="A89" s="4">
        <v>42826</v>
      </c>
      <c r="B89" s="3">
        <v>1.5141415103323341E-2</v>
      </c>
      <c r="C89" s="3">
        <v>7.692307692307665E-3</v>
      </c>
    </row>
    <row r="90" spans="1:3" x14ac:dyDescent="0.2">
      <c r="A90" s="4">
        <v>42856</v>
      </c>
      <c r="B90" s="3">
        <v>1.0131332082551792E-2</v>
      </c>
      <c r="C90" s="3">
        <v>7.1564885496182562E-3</v>
      </c>
    </row>
    <row r="91" spans="1:3" x14ac:dyDescent="0.2">
      <c r="A91" s="4">
        <v>42887</v>
      </c>
      <c r="B91" s="3">
        <v>4.8291233283803692E-3</v>
      </c>
      <c r="C91" s="3">
        <v>4.7370914258637598E-4</v>
      </c>
    </row>
    <row r="92" spans="1:3" x14ac:dyDescent="0.2">
      <c r="A92" s="4">
        <v>42917</v>
      </c>
      <c r="B92" s="3">
        <v>2.3475046210720718E-2</v>
      </c>
      <c r="C92" s="3">
        <v>4.1035353535352481E-3</v>
      </c>
    </row>
    <row r="93" spans="1:3" x14ac:dyDescent="0.2">
      <c r="A93" s="4">
        <v>42948</v>
      </c>
      <c r="B93" s="3">
        <v>1.5351273252663944E-3</v>
      </c>
      <c r="C93" s="3">
        <v>1.0688462747563632E-2</v>
      </c>
    </row>
    <row r="94" spans="1:3" x14ac:dyDescent="0.2">
      <c r="A94" s="4">
        <v>42979</v>
      </c>
      <c r="B94" s="3">
        <v>2.0016229375169114E-2</v>
      </c>
      <c r="C94" s="3">
        <v>-2.6438569206843621E-3</v>
      </c>
    </row>
    <row r="95" spans="1:3" x14ac:dyDescent="0.2">
      <c r="A95" s="4">
        <v>43009</v>
      </c>
      <c r="B95" s="3">
        <v>2.6076195527269475E-2</v>
      </c>
      <c r="C95" s="3">
        <v>-3.1186652112891178E-4</v>
      </c>
    </row>
    <row r="96" spans="1:3" x14ac:dyDescent="0.2">
      <c r="A96" s="4">
        <v>43040</v>
      </c>
      <c r="B96" s="3">
        <v>3.0323914541695363E-2</v>
      </c>
      <c r="C96" s="3">
        <v>-1.0918733426921179E-3</v>
      </c>
    </row>
    <row r="97" spans="1:3" x14ac:dyDescent="0.2">
      <c r="A97" s="4">
        <v>43070</v>
      </c>
      <c r="B97" s="3">
        <v>6.6889632107023367E-3</v>
      </c>
      <c r="C97" s="3">
        <v>2.9668956901935939E-3</v>
      </c>
    </row>
    <row r="98" spans="1:3" x14ac:dyDescent="0.2">
      <c r="A98" s="4">
        <v>43101</v>
      </c>
      <c r="B98" s="3">
        <v>5.7475083056478304E-2</v>
      </c>
      <c r="C98" s="3">
        <v>-7.7845243655614293E-3</v>
      </c>
    </row>
    <row r="99" spans="1:3" x14ac:dyDescent="0.2">
      <c r="A99" s="4">
        <v>43132</v>
      </c>
      <c r="B99" s="3">
        <v>-3.7621740496387002E-2</v>
      </c>
      <c r="C99" s="3">
        <v>-1.2552957790679331E-2</v>
      </c>
    </row>
    <row r="100" spans="1:3" x14ac:dyDescent="0.2">
      <c r="A100" s="4">
        <v>43160</v>
      </c>
      <c r="B100" s="3">
        <v>-2.3586060556598398E-2</v>
      </c>
      <c r="C100" s="3">
        <v>6.9918957571903917E-3</v>
      </c>
    </row>
    <row r="101" spans="1:3" x14ac:dyDescent="0.2">
      <c r="A101" s="4">
        <v>43191</v>
      </c>
      <c r="B101" s="3">
        <v>8.5255767301906094E-3</v>
      </c>
      <c r="C101" s="3">
        <v>-8.9947924885592778E-3</v>
      </c>
    </row>
    <row r="102" spans="1:3" x14ac:dyDescent="0.2">
      <c r="A102" s="4">
        <v>43221</v>
      </c>
      <c r="B102" s="3">
        <v>2.7266699817669604E-2</v>
      </c>
      <c r="C102" s="3">
        <v>7.0063694267517018E-3</v>
      </c>
    </row>
    <row r="103" spans="1:3" x14ac:dyDescent="0.2">
      <c r="A103" s="4">
        <v>43252</v>
      </c>
      <c r="B103" s="3">
        <v>2.7430415490117266E-3</v>
      </c>
      <c r="C103" s="3">
        <v>-4.7438330170779253E-4</v>
      </c>
    </row>
    <row r="104" spans="1:3" x14ac:dyDescent="0.2">
      <c r="A104" s="4">
        <v>43282</v>
      </c>
      <c r="B104" s="3">
        <v>3.7573417008608834E-2</v>
      </c>
      <c r="C104" s="3">
        <v>2.0566366081316012E-3</v>
      </c>
    </row>
    <row r="105" spans="1:3" x14ac:dyDescent="0.2">
      <c r="A105" s="4">
        <v>43313</v>
      </c>
      <c r="B105" s="3">
        <v>3.4351736972704439E-2</v>
      </c>
      <c r="C105" s="3">
        <v>6.6308809598989438E-3</v>
      </c>
    </row>
    <row r="106" spans="1:3" x14ac:dyDescent="0.2">
      <c r="A106" s="4">
        <v>43344</v>
      </c>
      <c r="B106" s="3">
        <v>-2.8487892645625568E-3</v>
      </c>
      <c r="C106" s="3">
        <v>-5.4893350062735768E-3</v>
      </c>
    </row>
    <row r="107" spans="1:3" x14ac:dyDescent="0.2">
      <c r="A107" s="4">
        <v>43374</v>
      </c>
      <c r="B107" s="3">
        <v>-6.9694007969325567E-2</v>
      </c>
      <c r="C107" s="3">
        <v>-8.6737107711717387E-3</v>
      </c>
    </row>
    <row r="108" spans="1:3" x14ac:dyDescent="0.2">
      <c r="A108" s="4">
        <v>43405</v>
      </c>
      <c r="B108" s="3">
        <v>2.0203652820429907E-2</v>
      </c>
      <c r="C108" s="3">
        <v>6.2042634425707455E-3</v>
      </c>
    </row>
    <row r="109" spans="1:3" x14ac:dyDescent="0.2">
      <c r="A109" s="4">
        <v>43435</v>
      </c>
      <c r="B109" s="3">
        <v>-9.7116603295310466E-2</v>
      </c>
      <c r="C109" s="3">
        <v>1.6284584980237105E-2</v>
      </c>
    </row>
    <row r="110" spans="1:3" x14ac:dyDescent="0.2">
      <c r="A110" s="4">
        <v>43466</v>
      </c>
      <c r="B110" s="3">
        <v>9.177048605018423E-2</v>
      </c>
      <c r="C110" s="3">
        <v>1.6179215930304691E-2</v>
      </c>
    </row>
    <row r="111" spans="1:3" x14ac:dyDescent="0.2">
      <c r="A111" s="4">
        <v>43497</v>
      </c>
      <c r="B111" s="3">
        <v>3.5599485695917865E-2</v>
      </c>
      <c r="C111" s="3">
        <v>-3.3680342927128182E-3</v>
      </c>
    </row>
    <row r="112" spans="1:3" x14ac:dyDescent="0.2">
      <c r="A112" s="4">
        <v>43525</v>
      </c>
      <c r="B112" s="3">
        <v>8.7685264219756753E-3</v>
      </c>
      <c r="C112" s="3">
        <v>1.9508448540706658E-2</v>
      </c>
    </row>
    <row r="113" spans="1:3" x14ac:dyDescent="0.2">
      <c r="A113" s="4">
        <v>43556</v>
      </c>
      <c r="B113" s="3">
        <v>4.484615384615398E-2</v>
      </c>
      <c r="C113" s="3">
        <v>-4.5201145095674633E-4</v>
      </c>
    </row>
    <row r="114" spans="1:3" x14ac:dyDescent="0.2">
      <c r="A114" s="4">
        <v>43586</v>
      </c>
      <c r="B114" s="3">
        <v>-6.4492380181108921E-2</v>
      </c>
      <c r="C114" s="3">
        <v>1.8390111546578325E-2</v>
      </c>
    </row>
    <row r="115" spans="1:3" x14ac:dyDescent="0.2">
      <c r="A115" s="4">
        <v>43617</v>
      </c>
      <c r="B115" s="3">
        <v>6.6813567325096468E-2</v>
      </c>
      <c r="C115" s="3">
        <v>1.258140911782113E-2</v>
      </c>
    </row>
    <row r="116" spans="1:3" x14ac:dyDescent="0.2">
      <c r="A116" s="4">
        <v>43647</v>
      </c>
      <c r="B116" s="3">
        <v>1.7851873709058719E-2</v>
      </c>
      <c r="C116" s="3">
        <v>1.461774594357701E-3</v>
      </c>
    </row>
    <row r="117" spans="1:3" x14ac:dyDescent="0.2">
      <c r="A117" s="4">
        <v>43678</v>
      </c>
      <c r="B117" s="3">
        <v>-2.0800115958834464E-2</v>
      </c>
      <c r="C117" s="3">
        <v>2.7733177638300743E-2</v>
      </c>
    </row>
    <row r="118" spans="1:3" x14ac:dyDescent="0.2">
      <c r="A118" s="4">
        <v>43709</v>
      </c>
      <c r="B118" s="3">
        <v>1.3174450447783093E-2</v>
      </c>
      <c r="C118" s="3">
        <v>-5.5389859394971985E-3</v>
      </c>
    </row>
    <row r="119" spans="1:3" x14ac:dyDescent="0.2">
      <c r="A119" s="4">
        <v>43739</v>
      </c>
      <c r="B119" s="3">
        <v>2.5714076996128377E-2</v>
      </c>
      <c r="C119" s="3">
        <v>3.141959440160047E-3</v>
      </c>
    </row>
    <row r="120" spans="1:3" x14ac:dyDescent="0.2">
      <c r="A120" s="4">
        <v>43770</v>
      </c>
      <c r="B120" s="3">
        <v>3.7889039242219091E-2</v>
      </c>
      <c r="C120" s="3">
        <v>-4.2710706150339561E-4</v>
      </c>
    </row>
    <row r="121" spans="1:3" x14ac:dyDescent="0.2">
      <c r="A121" s="4">
        <v>43800</v>
      </c>
      <c r="B121" s="3">
        <v>2.2507376655458655E-2</v>
      </c>
      <c r="C121" s="3">
        <v>-2.9910269192421346E-3</v>
      </c>
    </row>
    <row r="122" spans="1:3" x14ac:dyDescent="0.2">
      <c r="A122" s="4">
        <v>43831</v>
      </c>
      <c r="B122" s="3">
        <v>4.7647808871889019E-3</v>
      </c>
      <c r="C122" s="3">
        <v>2.4285714285714244E-2</v>
      </c>
    </row>
    <row r="123" spans="1:3" x14ac:dyDescent="0.2">
      <c r="A123" s="4">
        <v>43862</v>
      </c>
      <c r="B123" s="3">
        <v>-7.9949238578680193E-2</v>
      </c>
      <c r="C123" s="3">
        <v>1.4504881450488005E-2</v>
      </c>
    </row>
    <row r="124" spans="1:3" x14ac:dyDescent="0.2">
      <c r="A124" s="4">
        <v>43891</v>
      </c>
      <c r="B124" s="3">
        <v>-0.14315789473684215</v>
      </c>
      <c r="C124" s="3">
        <v>-1.416002199615074E-2</v>
      </c>
    </row>
    <row r="125" spans="1:3" x14ac:dyDescent="0.2">
      <c r="A125" s="4">
        <v>43922</v>
      </c>
      <c r="B125" s="3">
        <v>0.13699906803355066</v>
      </c>
      <c r="C125" s="3">
        <v>2.7332310695858508E-2</v>
      </c>
    </row>
    <row r="126" spans="1:3" x14ac:dyDescent="0.2">
      <c r="A126" s="4">
        <v>43952</v>
      </c>
      <c r="B126" s="3">
        <v>5.3949329359165521E-2</v>
      </c>
      <c r="C126" s="3">
        <v>6.9227636758517619E-3</v>
      </c>
    </row>
    <row r="127" spans="1:3" x14ac:dyDescent="0.2">
      <c r="A127" s="4">
        <v>43983</v>
      </c>
      <c r="B127" s="3">
        <v>1.8311651583710509E-2</v>
      </c>
      <c r="C127" s="3">
        <v>6.7403612833647486E-3</v>
      </c>
    </row>
    <row r="128" spans="1:3" x14ac:dyDescent="0.2">
      <c r="A128" s="4">
        <v>44013</v>
      </c>
      <c r="B128" s="3">
        <v>6.2278691939179343E-2</v>
      </c>
      <c r="C128" s="3">
        <v>1.4729512587037918E-2</v>
      </c>
    </row>
    <row r="129" spans="1:3" x14ac:dyDescent="0.2">
      <c r="A129" s="4">
        <v>44044</v>
      </c>
      <c r="B129" s="3">
        <v>7.1045751633986853E-2</v>
      </c>
      <c r="C129" s="3">
        <v>-9.3692267088942849E-3</v>
      </c>
    </row>
    <row r="130" spans="1:3" x14ac:dyDescent="0.2">
      <c r="A130" s="4">
        <v>44075</v>
      </c>
      <c r="B130" s="3">
        <v>-3.9299444681759943E-2</v>
      </c>
      <c r="C130" s="3">
        <v>-9.3246303450100765E-4</v>
      </c>
    </row>
    <row r="131" spans="1:3" x14ac:dyDescent="0.2">
      <c r="A131" s="4">
        <v>44105</v>
      </c>
      <c r="B131" s="3">
        <v>-1.5498951915136838E-2</v>
      </c>
      <c r="C131" s="3">
        <v>-5.6000000000000494E-3</v>
      </c>
    </row>
    <row r="132" spans="1:3" x14ac:dyDescent="0.2">
      <c r="A132" s="4">
        <v>44136</v>
      </c>
      <c r="B132" s="3">
        <v>0.11807213368604419</v>
      </c>
      <c r="C132" s="3">
        <v>1.2201662644140576E-2</v>
      </c>
    </row>
    <row r="133" spans="1:3" x14ac:dyDescent="0.2">
      <c r="A133" s="4">
        <v>44166</v>
      </c>
      <c r="B133" s="3">
        <v>4.2529863235039489E-2</v>
      </c>
      <c r="C133" s="3">
        <v>-1.7220823950191422E-3</v>
      </c>
    </row>
    <row r="134" spans="1:3" x14ac:dyDescent="0.2">
      <c r="A134" s="4">
        <v>44197</v>
      </c>
      <c r="B134" s="3">
        <v>6.6423115244096387E-4</v>
      </c>
      <c r="C134" s="3">
        <v>-3.7154989384289294E-3</v>
      </c>
    </row>
    <row r="135" spans="1:3" x14ac:dyDescent="0.2">
      <c r="A135" s="4">
        <v>44228</v>
      </c>
      <c r="B135" s="3">
        <v>3.1419404801416029E-2</v>
      </c>
      <c r="C135" s="3">
        <v>-1.7048481619605815E-2</v>
      </c>
    </row>
    <row r="136" spans="1:3" x14ac:dyDescent="0.2">
      <c r="A136" s="4">
        <v>44256</v>
      </c>
      <c r="B136" s="3">
        <v>3.3036576209374724E-2</v>
      </c>
      <c r="C136" s="3">
        <v>-1.2601626016260026E-2</v>
      </c>
    </row>
    <row r="137" spans="1:3" x14ac:dyDescent="0.2">
      <c r="A137" s="4">
        <v>44287</v>
      </c>
      <c r="B137" s="3">
        <v>5.3888485100197281E-2</v>
      </c>
      <c r="C137" s="3">
        <v>7.8221490325236509E-3</v>
      </c>
    </row>
    <row r="138" spans="1:3" x14ac:dyDescent="0.2">
      <c r="A138" s="4">
        <v>44317</v>
      </c>
      <c r="B138" s="3">
        <v>4.5320197044333987E-3</v>
      </c>
      <c r="C138" s="3">
        <v>2.3148148148148806E-3</v>
      </c>
    </row>
    <row r="139" spans="1:3" x14ac:dyDescent="0.2">
      <c r="A139" s="4">
        <v>44348</v>
      </c>
      <c r="B139" s="3">
        <v>2.1675166732051832E-2</v>
      </c>
      <c r="C139" s="3">
        <v>8.9661730743104684E-3</v>
      </c>
    </row>
    <row r="140" spans="1:3" x14ac:dyDescent="0.2">
      <c r="A140" s="4">
        <v>44378</v>
      </c>
      <c r="B140" s="3">
        <v>2.0495344148987238E-2</v>
      </c>
      <c r="C140" s="3">
        <v>1.1714016426551899E-2</v>
      </c>
    </row>
    <row r="141" spans="1:3" x14ac:dyDescent="0.2">
      <c r="A141" s="4">
        <v>44409</v>
      </c>
      <c r="B141" s="3">
        <v>2.8596961572832758E-2</v>
      </c>
      <c r="C141" s="3">
        <v>-1.9962736225712652E-3</v>
      </c>
    </row>
    <row r="142" spans="1:3" x14ac:dyDescent="0.2">
      <c r="A142" s="4">
        <v>44440</v>
      </c>
      <c r="B142" s="3">
        <v>-4.7647354703004186E-2</v>
      </c>
      <c r="C142" s="3">
        <v>-1.013468462461653E-2</v>
      </c>
    </row>
    <row r="143" spans="1:3" x14ac:dyDescent="0.2">
      <c r="A143" s="4">
        <v>44470</v>
      </c>
      <c r="B143" s="3">
        <v>7.0245354587794573E-2</v>
      </c>
      <c r="C143" s="3">
        <v>8.0829853159092302E-4</v>
      </c>
    </row>
    <row r="144" spans="1:3" x14ac:dyDescent="0.2">
      <c r="A144" s="4">
        <v>44501</v>
      </c>
      <c r="B144" s="3">
        <v>-1.4625392552714334E-2</v>
      </c>
      <c r="C144" s="3">
        <v>2.019114281868184E-3</v>
      </c>
    </row>
    <row r="145" spans="1:3" x14ac:dyDescent="0.2">
      <c r="A145" s="4">
        <v>44531</v>
      </c>
      <c r="B145" s="3">
        <v>3.4237843744308938E-2</v>
      </c>
      <c r="C145" s="3">
        <v>-6.3138097796883175E-3</v>
      </c>
    </row>
    <row r="146" spans="1:3" x14ac:dyDescent="0.2">
      <c r="A146" s="4">
        <v>44562</v>
      </c>
      <c r="B146" s="3">
        <v>-5.7228385279098459E-2</v>
      </c>
      <c r="C146" s="3">
        <v>-1.5952413140462252E-2</v>
      </c>
    </row>
    <row r="147" spans="1:3" x14ac:dyDescent="0.2">
      <c r="A147" s="4">
        <v>44593</v>
      </c>
      <c r="B147" s="3">
        <v>-2.4887934254762767E-2</v>
      </c>
      <c r="C147" s="3">
        <v>-1.3051243302651505E-2</v>
      </c>
    </row>
    <row r="148" spans="1:3" x14ac:dyDescent="0.2">
      <c r="A148" s="4">
        <v>44621</v>
      </c>
      <c r="B148" s="3">
        <v>2.9401905856438093E-2</v>
      </c>
      <c r="C148" s="3">
        <v>-2.7422048997772785E-2</v>
      </c>
    </row>
    <row r="149" spans="1:3" x14ac:dyDescent="0.2">
      <c r="A149" s="4">
        <v>44652</v>
      </c>
      <c r="B149" s="3">
        <v>-8.847746197143791E-2</v>
      </c>
      <c r="C149" s="3">
        <v>-4.0646915700586872E-2</v>
      </c>
    </row>
    <row r="150" spans="1:3" x14ac:dyDescent="0.2">
      <c r="A150" s="4">
        <v>44682</v>
      </c>
      <c r="B150" s="3">
        <v>-2.5006379178360572E-3</v>
      </c>
      <c r="C150" s="3">
        <v>8.9512158734894598E-3</v>
      </c>
    </row>
    <row r="151" spans="1:3" x14ac:dyDescent="0.2">
      <c r="A151" s="4">
        <v>44713</v>
      </c>
      <c r="B151" s="3">
        <v>-8.5951089737030695E-2</v>
      </c>
      <c r="C151" s="3">
        <v>-1.6708561289368595E-2</v>
      </c>
    </row>
    <row r="152" spans="1:3" x14ac:dyDescent="0.2">
      <c r="A152" s="4">
        <v>44743</v>
      </c>
      <c r="B152" s="3">
        <v>9.7839471622075402E-2</v>
      </c>
      <c r="C152" s="3">
        <v>2.3759398496240536E-2</v>
      </c>
    </row>
    <row r="153" spans="1:3" x14ac:dyDescent="0.2">
      <c r="A153" s="4">
        <v>44774</v>
      </c>
      <c r="B153" s="3">
        <v>-3.7320281431630464E-2</v>
      </c>
      <c r="C153" s="3">
        <v>-2.7908343125734314E-2</v>
      </c>
    </row>
    <row r="154" spans="1:3" x14ac:dyDescent="0.2">
      <c r="A154" s="4">
        <v>44805</v>
      </c>
      <c r="B154" s="3">
        <v>-9.6123292024150042E-2</v>
      </c>
      <c r="C154" s="3">
        <v>-4.2006648534300473E-2</v>
      </c>
    </row>
    <row r="155" spans="1:3" x14ac:dyDescent="0.2">
      <c r="A155" s="4">
        <v>44835</v>
      </c>
      <c r="B155" s="3">
        <v>8.5720982012070124E-2</v>
      </c>
      <c r="C155" s="3">
        <v>-1.1671924290220903E-2</v>
      </c>
    </row>
    <row r="156" spans="1:3" x14ac:dyDescent="0.2">
      <c r="A156" s="4">
        <v>44866</v>
      </c>
      <c r="B156" s="3">
        <v>5.1699946033459065E-2</v>
      </c>
      <c r="C156" s="3">
        <v>3.6546441110756556E-2</v>
      </c>
    </row>
    <row r="157" spans="1:3" x14ac:dyDescent="0.2">
      <c r="A157" s="4">
        <v>44896</v>
      </c>
      <c r="B157" s="3">
        <v>-6.3064449917898169E-2</v>
      </c>
      <c r="C157" s="3">
        <v>-1.0315627405696692E-2</v>
      </c>
    </row>
    <row r="158" spans="1:3" x14ac:dyDescent="0.2">
      <c r="A158" s="4">
        <v>44927</v>
      </c>
      <c r="B158" s="3">
        <v>7.4374281176406098E-2</v>
      </c>
      <c r="C158" s="3">
        <v>3.7958929682638365E-2</v>
      </c>
    </row>
    <row r="159" spans="1:3" x14ac:dyDescent="0.2">
      <c r="A159" s="4">
        <v>44958</v>
      </c>
      <c r="B159" s="3">
        <v>-2.4009787429270402E-2</v>
      </c>
      <c r="C159" s="3">
        <v>-2.907673860911264E-2</v>
      </c>
    </row>
    <row r="160" spans="1:3" x14ac:dyDescent="0.2">
      <c r="A160" s="4">
        <v>44986</v>
      </c>
      <c r="B160" s="3">
        <v>2.2929071346495355E-2</v>
      </c>
      <c r="C160" s="3">
        <v>2.6860142019141664E-2</v>
      </c>
    </row>
    <row r="161" spans="1:3" x14ac:dyDescent="0.2">
      <c r="A161" s="4">
        <v>45017</v>
      </c>
      <c r="B161" s="3">
        <v>1.4858309931069735E-2</v>
      </c>
      <c r="C161" s="3">
        <v>5.71256764882766E-3</v>
      </c>
    </row>
    <row r="162" spans="1:3" x14ac:dyDescent="0.2">
      <c r="A162" s="4">
        <v>45047</v>
      </c>
      <c r="B162" s="3">
        <v>4.2765143892131707E-3</v>
      </c>
      <c r="C162" s="3">
        <v>-1.1509715994021064E-2</v>
      </c>
    </row>
    <row r="163" spans="1:3" x14ac:dyDescent="0.2">
      <c r="A163" s="4">
        <v>45078</v>
      </c>
      <c r="B163" s="3">
        <v>6.3223285406542651E-2</v>
      </c>
      <c r="C163" s="3">
        <v>-2.4194767881444701E-3</v>
      </c>
    </row>
    <row r="164" spans="1:3" x14ac:dyDescent="0.2">
      <c r="A164" s="4">
        <v>45108</v>
      </c>
      <c r="B164" s="3">
        <v>4.0616312491165374E-2</v>
      </c>
      <c r="C164" s="3">
        <v>-1.2126724268606281E-3</v>
      </c>
    </row>
    <row r="165" spans="1:3" x14ac:dyDescent="0.2">
      <c r="A165" s="4">
        <v>45139</v>
      </c>
      <c r="B165" s="3">
        <v>-1.9334389857369128E-2</v>
      </c>
      <c r="C165" s="3">
        <v>-6.6777963272119933E-3</v>
      </c>
    </row>
    <row r="166" spans="1:3" x14ac:dyDescent="0.2">
      <c r="A166" s="4">
        <v>45170</v>
      </c>
      <c r="B166" s="3">
        <v>-5.1482131314064095E-2</v>
      </c>
      <c r="C166" s="3">
        <v>-2.4904507257448527E-2</v>
      </c>
    </row>
    <row r="167" spans="1:3" x14ac:dyDescent="0.2">
      <c r="A167" s="4">
        <v>45200</v>
      </c>
      <c r="B167" s="3">
        <v>-2.2878839507374904E-2</v>
      </c>
      <c r="C167" s="3">
        <v>-1.5198997179567519E-2</v>
      </c>
    </row>
    <row r="168" spans="1:3" x14ac:dyDescent="0.2">
      <c r="A168" s="4">
        <v>45231</v>
      </c>
      <c r="B168" s="3">
        <v>9.4156329397698357E-2</v>
      </c>
      <c r="C168" s="3">
        <v>4.5186953062847923E-2</v>
      </c>
    </row>
    <row r="169" spans="1:3" x14ac:dyDescent="0.2">
      <c r="A169" s="4">
        <v>45261</v>
      </c>
      <c r="B169" s="3">
        <v>4.8445112234212218E-2</v>
      </c>
      <c r="C169" s="3">
        <v>3.2729486984320433E-2</v>
      </c>
    </row>
    <row r="170" spans="1:3" x14ac:dyDescent="0.2">
      <c r="A170" s="4">
        <v>45292</v>
      </c>
      <c r="B170" s="3">
        <v>1.5503539323402871E-2</v>
      </c>
      <c r="C170" s="3">
        <v>4.1273584905661131E-3</v>
      </c>
    </row>
    <row r="171" spans="1:3" x14ac:dyDescent="0.2">
      <c r="A171" s="4">
        <v>45323</v>
      </c>
      <c r="B171" s="3">
        <v>5.2984946972288727E-2</v>
      </c>
      <c r="C171" s="3">
        <v>-1.6588373458602645E-2</v>
      </c>
    </row>
    <row r="172" spans="1:3" x14ac:dyDescent="0.2">
      <c r="A172" s="4">
        <v>45352</v>
      </c>
      <c r="B172" s="3">
        <v>2.8956666531291919E-2</v>
      </c>
      <c r="C172" s="3">
        <v>8.6580086580085869E-3</v>
      </c>
    </row>
    <row r="173" spans="1:3" x14ac:dyDescent="0.2">
      <c r="A173" s="4">
        <v>45383</v>
      </c>
      <c r="B173" s="3">
        <v>-4.0061572466056239E-2</v>
      </c>
      <c r="C173" s="3">
        <v>-2.4271126239455154E-2</v>
      </c>
    </row>
    <row r="174" spans="1:3" x14ac:dyDescent="0.2">
      <c r="A174" s="4">
        <v>45413</v>
      </c>
      <c r="B174" s="3">
        <v>4.7572057070021767E-2</v>
      </c>
      <c r="C174" s="3">
        <v>1.6684362202335823E-2</v>
      </c>
    </row>
    <row r="175" spans="1:3" x14ac:dyDescent="0.2">
      <c r="A175" s="4">
        <v>45444</v>
      </c>
      <c r="B175" s="3">
        <v>2.7160687652092008E-2</v>
      </c>
      <c r="C175" s="3">
        <v>8.8020289422647835E-3</v>
      </c>
    </row>
    <row r="176" spans="1:3" x14ac:dyDescent="0.2">
      <c r="A176" s="4">
        <v>45474</v>
      </c>
      <c r="B176" s="3">
        <v>2.250668704623604E-2</v>
      </c>
      <c r="C176" s="3">
        <v>2.3513753327417675E-2</v>
      </c>
    </row>
    <row r="177" spans="1:3" x14ac:dyDescent="0.2">
      <c r="A177" s="4">
        <v>45505</v>
      </c>
      <c r="B177" s="3">
        <v>2.1338615045405351E-2</v>
      </c>
      <c r="C177" s="3">
        <v>1.4593266868949684E-2</v>
      </c>
    </row>
    <row r="178" spans="1:3" x14ac:dyDescent="0.2">
      <c r="A178" s="4">
        <v>45536</v>
      </c>
      <c r="B178" s="3">
        <v>1.7160629345042144E-2</v>
      </c>
      <c r="C178" s="3">
        <v>1.3244090002848319E-2</v>
      </c>
    </row>
    <row r="179" spans="1:3" x14ac:dyDescent="0.2">
      <c r="A179" s="4">
        <v>45566</v>
      </c>
      <c r="B179" s="3">
        <v>-4.4605921076298349E-3</v>
      </c>
      <c r="C179" s="3">
        <v>-2.4455375966268567E-2</v>
      </c>
    </row>
    <row r="180" spans="1:3" x14ac:dyDescent="0.2">
      <c r="A180" s="4">
        <v>45597</v>
      </c>
      <c r="B180" s="3">
        <v>6.6991869918699321E-2</v>
      </c>
      <c r="C180" s="3">
        <v>1.0373145079959567E-2</v>
      </c>
    </row>
    <row r="181" spans="1:3" x14ac:dyDescent="0.2">
      <c r="A181" s="4">
        <v>45627</v>
      </c>
      <c r="B181" s="3">
        <v>-3.3492498899387213E-2</v>
      </c>
      <c r="C181" s="3">
        <v>-1.9820333666048739E-2</v>
      </c>
    </row>
    <row r="182" spans="1:3" x14ac:dyDescent="0.2">
      <c r="A182" s="4">
        <v>45658</v>
      </c>
      <c r="B182" s="3">
        <v>3.3637000700770914E-2</v>
      </c>
      <c r="C182" s="3">
        <v>1.2219959266802416E-2</v>
      </c>
    </row>
    <row r="183" spans="1:3" x14ac:dyDescent="0.2">
      <c r="A183" s="4">
        <v>45689</v>
      </c>
      <c r="B183" s="3">
        <v>-1.8881355932203414E-2</v>
      </c>
      <c r="C183" s="3">
        <v>1.8252371371083598E-2</v>
      </c>
    </row>
    <row r="184" spans="1:3" x14ac:dyDescent="0.2">
      <c r="A184" s="4">
        <v>45717</v>
      </c>
      <c r="B184" s="3">
        <v>-6.1845696714231568E-2</v>
      </c>
      <c r="C184" s="3">
        <v>4.234297812280019E-4</v>
      </c>
    </row>
    <row r="185" spans="1:3" x14ac:dyDescent="0.2">
      <c r="A185" s="4">
        <v>45748</v>
      </c>
      <c r="B185" s="3">
        <v>-3.866976024748503E-3</v>
      </c>
      <c r="C185" s="3">
        <v>3.668171557562161E-3</v>
      </c>
    </row>
    <row r="186" spans="1:3" x14ac:dyDescent="0.2">
      <c r="A186" s="4">
        <v>45778</v>
      </c>
      <c r="B186" s="3">
        <v>6.2518485655131517E-2</v>
      </c>
      <c r="C186" s="3">
        <v>-6.6066910317683636E-3</v>
      </c>
    </row>
    <row r="187" spans="1:3" x14ac:dyDescent="0.2">
      <c r="A187" s="4">
        <v>45809</v>
      </c>
      <c r="B187" s="3">
        <v>4.8470719231705983E-2</v>
      </c>
      <c r="C187" s="3">
        <v>1.4999292486203464E-2</v>
      </c>
    </row>
    <row r="188" spans="1:3" x14ac:dyDescent="0.2">
      <c r="A188" s="4">
        <v>45839</v>
      </c>
      <c r="B188" s="3">
        <v>2.5985663082437327E-2</v>
      </c>
      <c r="C188" s="3">
        <v>-2.5094102885823144E-3</v>
      </c>
    </row>
    <row r="189" spans="1:3" x14ac:dyDescent="0.2">
      <c r="A189" s="4">
        <v>45870</v>
      </c>
      <c r="B189" s="3">
        <v>2.3516092511725928E-2</v>
      </c>
      <c r="C189" s="3">
        <v>1.1460517120894576E-2</v>
      </c>
    </row>
    <row r="190" spans="1:3" x14ac:dyDescent="0.2">
      <c r="A190" s="4">
        <v>45901</v>
      </c>
      <c r="B190" s="3">
        <v>3.1319132798179439E-2</v>
      </c>
      <c r="C190" s="3">
        <v>1.105430426972509E-2</v>
      </c>
    </row>
    <row r="191" spans="1:3" x14ac:dyDescent="0.2">
      <c r="A191" s="4">
        <v>45931</v>
      </c>
      <c r="B191" s="3">
        <v>2.4944075016088085E-2</v>
      </c>
      <c r="C191" s="3">
        <v>6.1500615006151449E-3</v>
      </c>
    </row>
    <row r="192" spans="1:3" x14ac:dyDescent="0.2">
      <c r="A192" s="4">
        <v>45962</v>
      </c>
      <c r="B192" s="3">
        <v>2.6609262415164814E-3</v>
      </c>
      <c r="C192" s="3">
        <v>5.8408041293125379E-3</v>
      </c>
    </row>
    <row r="193" spans="1:3" x14ac:dyDescent="0.2">
      <c r="A193" s="4">
        <v>45992</v>
      </c>
      <c r="B193" s="3">
        <v>-3.1011450381680516E-3</v>
      </c>
      <c r="C193" s="3">
        <v>-6.2120189061444231E-3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0CCBB-70FE-DF48-AD63-366B574C7BB8}">
  <dimension ref="A1:D193"/>
  <sheetViews>
    <sheetView workbookViewId="0">
      <selection activeCell="G27" sqref="G27"/>
    </sheetView>
  </sheetViews>
  <sheetFormatPr baseColWidth="10" defaultRowHeight="16" x14ac:dyDescent="0.2"/>
  <cols>
    <col min="1" max="1" width="12.33203125" bestFit="1" customWidth="1"/>
    <col min="2" max="2" width="14.6640625" customWidth="1"/>
    <col min="3" max="3" width="16" customWidth="1"/>
    <col min="4" max="4" width="17.33203125" customWidth="1"/>
  </cols>
  <sheetData>
    <row r="1" spans="1:4" x14ac:dyDescent="0.2">
      <c r="A1" s="4" t="s">
        <v>0</v>
      </c>
      <c r="B1" s="2" t="s">
        <v>5</v>
      </c>
      <c r="C1" s="2" t="s">
        <v>6</v>
      </c>
      <c r="D1" s="2" t="s">
        <v>7</v>
      </c>
    </row>
    <row r="2" spans="1:4" x14ac:dyDescent="0.2">
      <c r="A2" s="4">
        <v>40179</v>
      </c>
      <c r="B2">
        <v>0</v>
      </c>
      <c r="C2">
        <v>0</v>
      </c>
      <c r="D2">
        <v>0</v>
      </c>
    </row>
    <row r="3" spans="1:4" x14ac:dyDescent="0.2">
      <c r="A3" s="4">
        <v>40210</v>
      </c>
      <c r="B3">
        <v>3.0971271647747402E-2</v>
      </c>
      <c r="C3">
        <v>2.0714354883673101E-2</v>
      </c>
      <c r="D3">
        <v>1.0457438119598804E-2</v>
      </c>
    </row>
    <row r="4" spans="1:4" x14ac:dyDescent="0.2">
      <c r="A4" s="4">
        <v>40238</v>
      </c>
      <c r="B4">
        <v>5.3489686258574538E-2</v>
      </c>
      <c r="C4">
        <v>3.4991520323144835E-2</v>
      </c>
      <c r="D4">
        <v>1.6493354387715122E-2</v>
      </c>
    </row>
    <row r="5" spans="1:4" x14ac:dyDescent="0.2">
      <c r="A5" s="4">
        <v>40269</v>
      </c>
      <c r="B5">
        <v>2.4275570856226825E-2</v>
      </c>
      <c r="C5">
        <v>1.9665701315427508E-2</v>
      </c>
      <c r="D5">
        <v>1.505583177462819E-2</v>
      </c>
    </row>
    <row r="6" spans="1:4" x14ac:dyDescent="0.2">
      <c r="A6" s="4">
        <v>40299</v>
      </c>
      <c r="B6">
        <v>-6.9734478163556698E-2</v>
      </c>
      <c r="C6">
        <v>-4.2712316124942369E-2</v>
      </c>
      <c r="D6">
        <v>-1.5690154086328047E-2</v>
      </c>
    </row>
    <row r="7" spans="1:4" x14ac:dyDescent="0.2">
      <c r="A7" s="4">
        <v>40330</v>
      </c>
      <c r="B7">
        <v>-5.5126427660473758E-2</v>
      </c>
      <c r="C7">
        <v>-3.1901990368760909E-2</v>
      </c>
      <c r="D7">
        <v>-8.6775530770480721E-3</v>
      </c>
    </row>
    <row r="8" spans="1:4" x14ac:dyDescent="0.2">
      <c r="A8" s="4">
        <v>40360</v>
      </c>
      <c r="B8">
        <v>6.8504365462265834E-2</v>
      </c>
      <c r="C8">
        <v>4.8640577426952665E-2</v>
      </c>
      <c r="D8">
        <v>2.8776789391639499E-2</v>
      </c>
    </row>
    <row r="9" spans="1:4" x14ac:dyDescent="0.2">
      <c r="A9" s="4">
        <v>40391</v>
      </c>
      <c r="B9">
        <v>-4.0720634531516947E-2</v>
      </c>
      <c r="C9">
        <v>-2.1961762243852354E-2</v>
      </c>
      <c r="D9">
        <v>-3.2028899561877718E-3</v>
      </c>
    </row>
    <row r="10" spans="1:4" x14ac:dyDescent="0.2">
      <c r="A10" s="4">
        <v>40422</v>
      </c>
      <c r="B10">
        <v>8.0112800392349054E-2</v>
      </c>
      <c r="C10">
        <v>5.3408533594899367E-2</v>
      </c>
      <c r="D10">
        <v>2.6704266797449683E-2</v>
      </c>
    </row>
    <row r="11" spans="1:4" x14ac:dyDescent="0.2">
      <c r="A11" s="4">
        <v>40452</v>
      </c>
      <c r="B11">
        <v>4.1258208564739003E-2</v>
      </c>
      <c r="C11">
        <v>2.8577081050219319E-2</v>
      </c>
      <c r="D11">
        <v>1.5895953535699635E-2</v>
      </c>
    </row>
    <row r="12" spans="1:4" x14ac:dyDescent="0.2">
      <c r="A12" s="4">
        <v>40483</v>
      </c>
      <c r="B12">
        <v>3.954709317868876E-3</v>
      </c>
      <c r="C12">
        <v>3.116221088651722E-4</v>
      </c>
      <c r="D12">
        <v>-3.3314651001385303E-3</v>
      </c>
    </row>
    <row r="13" spans="1:4" x14ac:dyDescent="0.2">
      <c r="A13" s="4">
        <v>40513</v>
      </c>
      <c r="B13">
        <v>5.5739912980507844E-2</v>
      </c>
      <c r="C13">
        <v>3.1401906046736983E-2</v>
      </c>
      <c r="D13">
        <v>7.0638991129661211E-3</v>
      </c>
    </row>
    <row r="14" spans="1:4" x14ac:dyDescent="0.2">
      <c r="A14" s="4">
        <v>40544</v>
      </c>
      <c r="B14">
        <v>2.4484709559537965E-2</v>
      </c>
      <c r="C14">
        <v>1.9993218902804477E-2</v>
      </c>
      <c r="D14">
        <v>1.5501728246070989E-2</v>
      </c>
    </row>
    <row r="15" spans="1:4" x14ac:dyDescent="0.2">
      <c r="A15" s="4">
        <v>40575</v>
      </c>
      <c r="B15">
        <v>3.3392226148409934E-2</v>
      </c>
      <c r="C15">
        <v>2.2261484098939955E-2</v>
      </c>
      <c r="D15">
        <v>1.1130742049469977E-2</v>
      </c>
    </row>
    <row r="16" spans="1:4" x14ac:dyDescent="0.2">
      <c r="A16" s="4">
        <v>40603</v>
      </c>
      <c r="B16">
        <v>-1.3374092472296929E-4</v>
      </c>
      <c r="C16">
        <v>-5.3496369889187716E-4</v>
      </c>
      <c r="D16">
        <v>-9.3618647306078486E-4</v>
      </c>
    </row>
    <row r="17" spans="1:4" x14ac:dyDescent="0.2">
      <c r="A17" s="4">
        <v>40634</v>
      </c>
      <c r="B17">
        <v>3.1266595377363496E-2</v>
      </c>
      <c r="C17">
        <v>2.5691026597471953E-2</v>
      </c>
      <c r="D17">
        <v>2.0115457817580416E-2</v>
      </c>
    </row>
    <row r="18" spans="1:4" x14ac:dyDescent="0.2">
      <c r="A18" s="4">
        <v>40664</v>
      </c>
      <c r="B18">
        <v>-8.3759360475934904E-3</v>
      </c>
      <c r="C18">
        <v>-1.6239347363615981E-3</v>
      </c>
      <c r="D18">
        <v>5.1280665748702926E-3</v>
      </c>
    </row>
    <row r="19" spans="1:4" x14ac:dyDescent="0.2">
      <c r="A19" s="4">
        <v>40695</v>
      </c>
      <c r="B19">
        <v>-2.0206050441048506E-2</v>
      </c>
      <c r="C19">
        <v>-1.4713090653083127E-2</v>
      </c>
      <c r="D19">
        <v>-9.2201308651177483E-3</v>
      </c>
    </row>
    <row r="20" spans="1:4" x14ac:dyDescent="0.2">
      <c r="A20" s="4">
        <v>40725</v>
      </c>
      <c r="B20">
        <v>-1.5073997353237511E-2</v>
      </c>
      <c r="C20">
        <v>-4.6247150330974039E-3</v>
      </c>
      <c r="D20">
        <v>5.8245672870427031E-3</v>
      </c>
    </row>
    <row r="21" spans="1:4" x14ac:dyDescent="0.2">
      <c r="A21" s="4">
        <v>40756</v>
      </c>
      <c r="B21">
        <v>-5.3041507975410809E-2</v>
      </c>
      <c r="C21">
        <v>-2.9839194162881985E-2</v>
      </c>
      <c r="D21">
        <v>-6.6368803503531679E-3</v>
      </c>
    </row>
    <row r="22" spans="1:4" x14ac:dyDescent="0.2">
      <c r="A22" s="4">
        <v>40787</v>
      </c>
      <c r="B22">
        <v>-7.1970143975495865E-2</v>
      </c>
      <c r="C22">
        <v>-4.5686656427866928E-2</v>
      </c>
      <c r="D22">
        <v>-1.9403168880238006E-2</v>
      </c>
    </row>
    <row r="23" spans="1:4" x14ac:dyDescent="0.2">
      <c r="A23" s="4">
        <v>40817</v>
      </c>
      <c r="B23">
        <v>0.10770565962675017</v>
      </c>
      <c r="C23">
        <v>7.2163420629905647E-2</v>
      </c>
      <c r="D23">
        <v>3.6621181633061099E-2</v>
      </c>
    </row>
    <row r="24" spans="1:4" x14ac:dyDescent="0.2">
      <c r="A24" s="4">
        <v>40848</v>
      </c>
      <c r="B24">
        <v>-3.2874219228150371E-3</v>
      </c>
      <c r="C24">
        <v>-2.371244577487741E-3</v>
      </c>
      <c r="D24">
        <v>-1.4550672321604452E-3</v>
      </c>
    </row>
    <row r="25" spans="1:4" x14ac:dyDescent="0.2">
      <c r="A25" s="4">
        <v>40878</v>
      </c>
      <c r="B25">
        <v>4.073058950395292E-3</v>
      </c>
      <c r="C25">
        <v>4.2730050323507738E-3</v>
      </c>
      <c r="D25">
        <v>4.4729511143062565E-3</v>
      </c>
    </row>
    <row r="26" spans="1:4" x14ac:dyDescent="0.2">
      <c r="A26" s="4">
        <v>40909</v>
      </c>
      <c r="B26">
        <v>5.2607623635296807E-2</v>
      </c>
      <c r="C26">
        <v>4.0438475387156725E-2</v>
      </c>
      <c r="D26">
        <v>2.8269327139016642E-2</v>
      </c>
    </row>
    <row r="27" spans="1:4" x14ac:dyDescent="0.2">
      <c r="A27" s="4">
        <v>40940</v>
      </c>
      <c r="B27">
        <v>3.7685258074124386E-2</v>
      </c>
      <c r="C27">
        <v>2.4419280030636911E-2</v>
      </c>
      <c r="D27">
        <v>1.1153301987149443E-2</v>
      </c>
    </row>
    <row r="28" spans="1:4" x14ac:dyDescent="0.2">
      <c r="A28" s="4">
        <v>40969</v>
      </c>
      <c r="B28">
        <v>2.3151586557402435E-2</v>
      </c>
      <c r="C28">
        <v>1.378771966682626E-2</v>
      </c>
      <c r="D28">
        <v>4.4238527762500823E-3</v>
      </c>
    </row>
    <row r="29" spans="1:4" x14ac:dyDescent="0.2">
      <c r="A29" s="4">
        <v>41000</v>
      </c>
      <c r="B29">
        <v>-9.1387185959849169E-4</v>
      </c>
      <c r="C29">
        <v>2.7004447649958468E-3</v>
      </c>
      <c r="D29">
        <v>6.3147613895901834E-3</v>
      </c>
    </row>
    <row r="30" spans="1:4" x14ac:dyDescent="0.2">
      <c r="A30" s="4">
        <v>41030</v>
      </c>
      <c r="B30">
        <v>-5.4838348958706103E-2</v>
      </c>
      <c r="C30">
        <v>-3.3047663350747873E-2</v>
      </c>
      <c r="D30">
        <v>-1.1256977742789633E-2</v>
      </c>
    </row>
    <row r="31" spans="1:4" x14ac:dyDescent="0.2">
      <c r="A31" s="4">
        <v>41061</v>
      </c>
      <c r="B31">
        <v>3.1648440071687101E-2</v>
      </c>
      <c r="C31">
        <v>2.1330602392011896E-2</v>
      </c>
      <c r="D31">
        <v>1.1012764712336696E-2</v>
      </c>
    </row>
    <row r="32" spans="1:4" x14ac:dyDescent="0.2">
      <c r="A32" s="4">
        <v>41091</v>
      </c>
      <c r="B32">
        <v>1.3698467210376219E-2</v>
      </c>
      <c r="C32">
        <v>1.3241107769880456E-2</v>
      </c>
      <c r="D32">
        <v>1.2783748329384691E-2</v>
      </c>
    </row>
    <row r="33" spans="1:4" x14ac:dyDescent="0.2">
      <c r="A33" s="4">
        <v>41122</v>
      </c>
      <c r="B33">
        <v>2.4583612238454757E-2</v>
      </c>
      <c r="C33">
        <v>1.6903566336526541E-2</v>
      </c>
      <c r="D33">
        <v>9.2235204345983302E-3</v>
      </c>
    </row>
    <row r="34" spans="1:4" x14ac:dyDescent="0.2">
      <c r="A34" s="4">
        <v>41153</v>
      </c>
      <c r="B34">
        <v>1.7986746083879537E-2</v>
      </c>
      <c r="C34">
        <v>1.2619017937198196E-2</v>
      </c>
      <c r="D34">
        <v>7.251289790516857E-3</v>
      </c>
    </row>
    <row r="35" spans="1:4" x14ac:dyDescent="0.2">
      <c r="A35" s="4">
        <v>41183</v>
      </c>
      <c r="B35">
        <v>-1.1978367782484201E-2</v>
      </c>
      <c r="C35">
        <v>-8.2704301139765232E-3</v>
      </c>
      <c r="D35">
        <v>-4.5624924454688463E-3</v>
      </c>
    </row>
    <row r="36" spans="1:4" x14ac:dyDescent="0.2">
      <c r="A36" s="4">
        <v>41214</v>
      </c>
      <c r="B36">
        <v>7.3000639604933644E-3</v>
      </c>
      <c r="C36">
        <v>5.7219949724078394E-3</v>
      </c>
      <c r="D36">
        <v>4.1439259843223161E-3</v>
      </c>
    </row>
    <row r="37" spans="1:4" x14ac:dyDescent="0.2">
      <c r="A37" s="4">
        <v>41244</v>
      </c>
      <c r="B37">
        <v>3.7395933606549801E-3</v>
      </c>
      <c r="C37">
        <v>-1.0899440724792433E-3</v>
      </c>
      <c r="D37">
        <v>-5.9194815056134659E-3</v>
      </c>
    </row>
    <row r="38" spans="1:4" x14ac:dyDescent="0.2">
      <c r="A38" s="4">
        <v>41275</v>
      </c>
      <c r="B38">
        <v>5.543880502847498E-2</v>
      </c>
      <c r="C38">
        <v>3.5349452863642439E-2</v>
      </c>
      <c r="D38">
        <v>1.5260100698809896E-2</v>
      </c>
    </row>
    <row r="39" spans="1:4" x14ac:dyDescent="0.2">
      <c r="A39" s="4">
        <v>41306</v>
      </c>
      <c r="B39">
        <v>1.1819270035703888E-2</v>
      </c>
      <c r="C39">
        <v>8.9771447840568015E-3</v>
      </c>
      <c r="D39">
        <v>6.1350195324097138E-3</v>
      </c>
    </row>
    <row r="40" spans="1:4" x14ac:dyDescent="0.2">
      <c r="A40" s="4">
        <v>41334</v>
      </c>
      <c r="B40">
        <v>3.1393216083622333E-2</v>
      </c>
      <c r="C40">
        <v>2.1216713065939974E-2</v>
      </c>
      <c r="D40">
        <v>1.1040210048257615E-2</v>
      </c>
    </row>
    <row r="41" spans="1:4" x14ac:dyDescent="0.2">
      <c r="A41" s="4">
        <v>41365</v>
      </c>
      <c r="B41">
        <v>1.944246420871407E-2</v>
      </c>
      <c r="C41">
        <v>1.578065097518002E-2</v>
      </c>
      <c r="D41">
        <v>1.2118837741645971E-2</v>
      </c>
    </row>
    <row r="42" spans="1:4" x14ac:dyDescent="0.2">
      <c r="A42" s="4">
        <v>41395</v>
      </c>
      <c r="B42">
        <v>2.0264703514951354E-2</v>
      </c>
      <c r="C42">
        <v>7.6338253908221337E-3</v>
      </c>
      <c r="D42">
        <v>-4.9970527333070827E-3</v>
      </c>
    </row>
    <row r="43" spans="1:4" x14ac:dyDescent="0.2">
      <c r="A43" s="4">
        <v>41426</v>
      </c>
      <c r="B43">
        <v>-1.8776420794523851E-2</v>
      </c>
      <c r="C43">
        <v>-1.8034454745710415E-2</v>
      </c>
      <c r="D43">
        <v>-1.7292488696896979E-2</v>
      </c>
    </row>
    <row r="44" spans="1:4" x14ac:dyDescent="0.2">
      <c r="A44" s="4">
        <v>41456</v>
      </c>
      <c r="B44">
        <v>5.6520537387744769E-2</v>
      </c>
      <c r="C44">
        <v>3.8920393688080195E-2</v>
      </c>
      <c r="D44">
        <v>2.1320249988415637E-2</v>
      </c>
    </row>
    <row r="45" spans="1:4" x14ac:dyDescent="0.2">
      <c r="A45" s="4">
        <v>41487</v>
      </c>
      <c r="B45">
        <v>-2.8100589931147103E-2</v>
      </c>
      <c r="C45">
        <v>-2.1557588251544812E-2</v>
      </c>
      <c r="D45">
        <v>-1.5014586571942521E-2</v>
      </c>
    </row>
    <row r="46" spans="1:4" x14ac:dyDescent="0.2">
      <c r="A46" s="4">
        <v>41518</v>
      </c>
      <c r="B46">
        <v>3.1703332926928084E-2</v>
      </c>
      <c r="C46">
        <v>2.4814207236677578E-2</v>
      </c>
      <c r="D46">
        <v>1.7925081546427066E-2</v>
      </c>
    </row>
    <row r="47" spans="1:4" x14ac:dyDescent="0.2">
      <c r="A47" s="4">
        <v>41548</v>
      </c>
      <c r="B47">
        <v>4.3774790998318318E-2</v>
      </c>
      <c r="C47">
        <v>3.2000095407329572E-2</v>
      </c>
      <c r="D47">
        <v>2.0225399816340837E-2</v>
      </c>
    </row>
    <row r="48" spans="1:4" x14ac:dyDescent="0.2">
      <c r="A48" s="4">
        <v>41579</v>
      </c>
      <c r="B48">
        <v>2.4070130393951207E-2</v>
      </c>
      <c r="C48">
        <v>1.5057461230976753E-2</v>
      </c>
      <c r="D48">
        <v>6.0447920680023019E-3</v>
      </c>
    </row>
    <row r="49" spans="1:4" x14ac:dyDescent="0.2">
      <c r="A49" s="4">
        <v>41609</v>
      </c>
      <c r="B49">
        <v>1.8783441790505017E-2</v>
      </c>
      <c r="C49">
        <v>9.4288491292329624E-3</v>
      </c>
      <c r="D49">
        <v>7.4256467960909581E-5</v>
      </c>
    </row>
    <row r="50" spans="1:4" x14ac:dyDescent="0.2">
      <c r="A50" s="4">
        <v>41640</v>
      </c>
      <c r="B50">
        <v>-2.1841269072230138E-2</v>
      </c>
      <c r="C50">
        <v>-7.667951032246734E-3</v>
      </c>
      <c r="D50">
        <v>6.5053670077366722E-3</v>
      </c>
    </row>
    <row r="51" spans="1:4" x14ac:dyDescent="0.2">
      <c r="A51" s="4">
        <v>41671</v>
      </c>
      <c r="B51">
        <v>4.4043524043524192E-2</v>
      </c>
      <c r="C51">
        <v>3.0228150228150286E-2</v>
      </c>
      <c r="D51">
        <v>1.6412776412776386E-2</v>
      </c>
    </row>
    <row r="52" spans="1:4" x14ac:dyDescent="0.2">
      <c r="A52" s="4">
        <v>41699</v>
      </c>
      <c r="B52">
        <v>3.9304150853579627E-4</v>
      </c>
      <c r="C52">
        <v>-3.136775665604664E-4</v>
      </c>
      <c r="D52">
        <v>-1.0203966416567289E-3</v>
      </c>
    </row>
    <row r="53" spans="1:4" x14ac:dyDescent="0.2">
      <c r="A53" s="4">
        <v>41730</v>
      </c>
      <c r="B53">
        <v>5.3017280169866962E-3</v>
      </c>
      <c r="C53">
        <v>6.1296410540003787E-3</v>
      </c>
      <c r="D53">
        <v>6.9575540910140621E-3</v>
      </c>
    </row>
    <row r="54" spans="1:4" x14ac:dyDescent="0.2">
      <c r="A54" s="4">
        <v>41760</v>
      </c>
      <c r="B54">
        <v>1.998390785972717E-2</v>
      </c>
      <c r="C54">
        <v>1.6927755454410366E-2</v>
      </c>
      <c r="D54">
        <v>1.3871603049093562E-2</v>
      </c>
    </row>
    <row r="55" spans="1:4" x14ac:dyDescent="0.2">
      <c r="A55" s="4">
        <v>41791</v>
      </c>
      <c r="B55">
        <v>1.9920843542543889E-2</v>
      </c>
      <c r="C55">
        <v>1.3563623955898807E-2</v>
      </c>
      <c r="D55">
        <v>7.206404369253727E-3</v>
      </c>
    </row>
    <row r="56" spans="1:4" x14ac:dyDescent="0.2">
      <c r="A56" s="4">
        <v>41821</v>
      </c>
      <c r="B56">
        <v>-1.4611990179648492E-2</v>
      </c>
      <c r="C56">
        <v>-1.0646355351396398E-2</v>
      </c>
      <c r="D56">
        <v>-6.6807205231443016E-3</v>
      </c>
    </row>
    <row r="57" spans="1:4" x14ac:dyDescent="0.2">
      <c r="A57" s="4">
        <v>41852</v>
      </c>
      <c r="B57">
        <v>3.8503076148455051E-2</v>
      </c>
      <c r="C57">
        <v>2.9468842212519997E-2</v>
      </c>
      <c r="D57">
        <v>2.0434608276584942E-2</v>
      </c>
    </row>
    <row r="58" spans="1:4" x14ac:dyDescent="0.2">
      <c r="A58" s="4">
        <v>41883</v>
      </c>
      <c r="B58">
        <v>-2.3400760497548502E-2</v>
      </c>
      <c r="C58">
        <v>-1.7507191610299254E-2</v>
      </c>
      <c r="D58">
        <v>-1.1613622723050009E-2</v>
      </c>
    </row>
    <row r="59" spans="1:4" x14ac:dyDescent="0.2">
      <c r="A59" s="4">
        <v>41913</v>
      </c>
      <c r="B59">
        <v>2.9655380804008757E-2</v>
      </c>
      <c r="C59">
        <v>2.2195521776840588E-2</v>
      </c>
      <c r="D59">
        <v>1.4735662749672418E-2</v>
      </c>
    </row>
    <row r="60" spans="1:4" x14ac:dyDescent="0.2">
      <c r="A60" s="4">
        <v>41944</v>
      </c>
      <c r="B60">
        <v>2.3098271263404604E-2</v>
      </c>
      <c r="C60">
        <v>1.8142562162612431E-2</v>
      </c>
      <c r="D60">
        <v>1.3186853061820257E-2</v>
      </c>
    </row>
    <row r="61" spans="1:4" x14ac:dyDescent="0.2">
      <c r="A61" s="4">
        <v>41974</v>
      </c>
      <c r="B61">
        <v>-5.4004336688011747E-3</v>
      </c>
      <c r="C61">
        <v>-4.9331781495218115E-3</v>
      </c>
      <c r="D61">
        <v>-4.4659226302424465E-3</v>
      </c>
    </row>
    <row r="62" spans="1:4" x14ac:dyDescent="0.2">
      <c r="A62" s="4">
        <v>42005</v>
      </c>
      <c r="B62">
        <v>-1.6916722013403017E-2</v>
      </c>
      <c r="C62">
        <v>-9.6221302510577159E-4</v>
      </c>
      <c r="D62">
        <v>1.499229596319147E-2</v>
      </c>
    </row>
    <row r="63" spans="1:4" x14ac:dyDescent="0.2">
      <c r="A63" s="4">
        <v>42036</v>
      </c>
      <c r="B63">
        <v>5.0129478610479498E-2</v>
      </c>
      <c r="C63">
        <v>2.8389634558535888E-2</v>
      </c>
      <c r="D63">
        <v>6.6497905065922881E-3</v>
      </c>
    </row>
    <row r="64" spans="1:4" x14ac:dyDescent="0.2">
      <c r="A64" s="4">
        <v>42064</v>
      </c>
      <c r="B64">
        <v>-1.4031243521367243E-2</v>
      </c>
      <c r="C64">
        <v>-7.4870563618560475E-3</v>
      </c>
      <c r="D64">
        <v>-9.4286920234485424E-4</v>
      </c>
    </row>
    <row r="65" spans="1:4" x14ac:dyDescent="0.2">
      <c r="A65" s="4">
        <v>42095</v>
      </c>
      <c r="B65">
        <v>9.4265761185783996E-3</v>
      </c>
      <c r="C65">
        <v>5.0829860886634649E-3</v>
      </c>
      <c r="D65">
        <v>7.3939605874853145E-4</v>
      </c>
    </row>
    <row r="66" spans="1:4" x14ac:dyDescent="0.2">
      <c r="A66" s="4">
        <v>42125</v>
      </c>
      <c r="B66">
        <v>1.1217566789057243E-2</v>
      </c>
      <c r="C66">
        <v>5.9437949370871653E-3</v>
      </c>
      <c r="D66">
        <v>6.7002308511708878E-4</v>
      </c>
    </row>
    <row r="67" spans="1:4" x14ac:dyDescent="0.2">
      <c r="A67" s="4">
        <v>42156</v>
      </c>
      <c r="B67">
        <v>-2.004155144390941E-2</v>
      </c>
      <c r="C67">
        <v>-1.7105115344282319E-2</v>
      </c>
      <c r="D67">
        <v>-1.4168679244655223E-2</v>
      </c>
    </row>
    <row r="68" spans="1:4" x14ac:dyDescent="0.2">
      <c r="A68" s="4">
        <v>42186</v>
      </c>
      <c r="B68">
        <v>2.0209935162961015E-2</v>
      </c>
      <c r="C68">
        <v>1.6424620991812501E-2</v>
      </c>
      <c r="D68">
        <v>1.2639306820663986E-2</v>
      </c>
    </row>
    <row r="69" spans="1:4" x14ac:dyDescent="0.2">
      <c r="A69" s="4">
        <v>42217</v>
      </c>
      <c r="B69">
        <v>-5.5147799793278642E-2</v>
      </c>
      <c r="C69">
        <v>-3.7648348286317822E-2</v>
      </c>
      <c r="D69">
        <v>-2.0148896779357005E-2</v>
      </c>
    </row>
    <row r="70" spans="1:4" x14ac:dyDescent="0.2">
      <c r="A70" s="4">
        <v>42248</v>
      </c>
      <c r="B70">
        <v>-2.9931467674021106E-2</v>
      </c>
      <c r="C70">
        <v>-1.7242484896854204E-2</v>
      </c>
      <c r="D70">
        <v>-4.5535021196873027E-3</v>
      </c>
    </row>
    <row r="71" spans="1:4" x14ac:dyDescent="0.2">
      <c r="A71" s="4">
        <v>42278</v>
      </c>
      <c r="B71">
        <v>7.6191798530303195E-2</v>
      </c>
      <c r="C71">
        <v>5.090432594158991E-2</v>
      </c>
      <c r="D71">
        <v>2.5616853352876622E-2</v>
      </c>
    </row>
    <row r="72" spans="1:4" x14ac:dyDescent="0.2">
      <c r="A72" s="4">
        <v>42309</v>
      </c>
      <c r="B72">
        <v>5.0138882552032138E-3</v>
      </c>
      <c r="C72">
        <v>2.0255029373399402E-3</v>
      </c>
      <c r="D72">
        <v>-9.628823805233333E-4</v>
      </c>
    </row>
    <row r="73" spans="1:4" x14ac:dyDescent="0.2">
      <c r="A73" s="4">
        <v>42339</v>
      </c>
      <c r="B73">
        <v>-2.4558395712244253E-2</v>
      </c>
      <c r="C73">
        <v>-1.791496353268076E-2</v>
      </c>
      <c r="D73">
        <v>-1.1271531353117269E-2</v>
      </c>
    </row>
    <row r="74" spans="1:4" x14ac:dyDescent="0.2">
      <c r="A74" s="4">
        <v>42370</v>
      </c>
      <c r="B74">
        <v>-4.4958478379849801E-2</v>
      </c>
      <c r="C74">
        <v>-2.4326354124150892E-2</v>
      </c>
      <c r="D74">
        <v>-3.6942298684519929E-3</v>
      </c>
    </row>
    <row r="75" spans="1:4" x14ac:dyDescent="0.2">
      <c r="A75" s="4">
        <v>42401</v>
      </c>
      <c r="B75">
        <v>5.2893793621043854E-4</v>
      </c>
      <c r="C75">
        <v>2.4754208492655085E-3</v>
      </c>
      <c r="D75">
        <v>4.4219037623205778E-3</v>
      </c>
    </row>
    <row r="76" spans="1:4" x14ac:dyDescent="0.2">
      <c r="A76" s="4">
        <v>42430</v>
      </c>
      <c r="B76">
        <v>6.0369080040202763E-2</v>
      </c>
      <c r="C76">
        <v>4.3274881311890209E-2</v>
      </c>
      <c r="D76">
        <v>2.6180682583577662E-2</v>
      </c>
    </row>
    <row r="77" spans="1:4" x14ac:dyDescent="0.2">
      <c r="A77" s="4">
        <v>42461</v>
      </c>
      <c r="B77">
        <v>1.0609735976417589E-2</v>
      </c>
      <c r="C77">
        <v>8.3595377646289212E-3</v>
      </c>
      <c r="D77">
        <v>6.1093395528402537E-3</v>
      </c>
    </row>
    <row r="78" spans="1:4" x14ac:dyDescent="0.2">
      <c r="A78" s="4">
        <v>42491</v>
      </c>
      <c r="B78">
        <v>1.5613879003558706E-2</v>
      </c>
      <c r="C78">
        <v>1.0409252669039137E-2</v>
      </c>
      <c r="D78">
        <v>5.2046263345195687E-3</v>
      </c>
    </row>
    <row r="79" spans="1:4" x14ac:dyDescent="0.2">
      <c r="A79" s="4">
        <v>42522</v>
      </c>
      <c r="B79">
        <v>4.4414589114614164E-4</v>
      </c>
      <c r="C79">
        <v>7.0236320997837613E-3</v>
      </c>
      <c r="D79">
        <v>1.360311830842138E-2</v>
      </c>
    </row>
    <row r="80" spans="1:4" x14ac:dyDescent="0.2">
      <c r="A80" s="4">
        <v>42552</v>
      </c>
      <c r="B80">
        <v>4.0526927097808252E-2</v>
      </c>
      <c r="C80">
        <v>2.9059088154701485E-2</v>
      </c>
      <c r="D80">
        <v>1.7591249211594717E-2</v>
      </c>
    </row>
    <row r="81" spans="1:4" x14ac:dyDescent="0.2">
      <c r="A81" s="4">
        <v>42583</v>
      </c>
      <c r="B81">
        <v>1.5752761077591382E-3</v>
      </c>
      <c r="C81">
        <v>9.8178629339249097E-6</v>
      </c>
      <c r="D81">
        <v>-1.5556403818912875E-3</v>
      </c>
    </row>
    <row r="82" spans="1:4" x14ac:dyDescent="0.2">
      <c r="A82" s="4">
        <v>42614</v>
      </c>
      <c r="B82">
        <v>-2.4330584400527157E-3</v>
      </c>
      <c r="C82">
        <v>-1.2567707488057465E-3</v>
      </c>
      <c r="D82">
        <v>-8.0483057558777848E-5</v>
      </c>
    </row>
    <row r="83" spans="1:4" x14ac:dyDescent="0.2">
      <c r="A83" s="4">
        <v>42644</v>
      </c>
      <c r="B83">
        <v>-1.6426165838178641E-2</v>
      </c>
      <c r="C83">
        <v>-1.4078220540542353E-2</v>
      </c>
      <c r="D83">
        <v>-1.1730275242906062E-2</v>
      </c>
    </row>
    <row r="84" spans="1:4" x14ac:dyDescent="0.2">
      <c r="A84" s="4">
        <v>42675</v>
      </c>
      <c r="B84">
        <v>3.788182953978373E-2</v>
      </c>
      <c r="C84">
        <v>1.6677862681876342E-2</v>
      </c>
      <c r="D84">
        <v>-4.5261041760310417E-3</v>
      </c>
    </row>
    <row r="85" spans="1:4" x14ac:dyDescent="0.2">
      <c r="A85" s="4">
        <v>42705</v>
      </c>
      <c r="B85">
        <v>1.2203359953265113E-2</v>
      </c>
      <c r="C85">
        <v>8.3516026821724328E-3</v>
      </c>
      <c r="D85">
        <v>4.4998454110797507E-3</v>
      </c>
    </row>
    <row r="86" spans="1:4" x14ac:dyDescent="0.2">
      <c r="A86" s="4">
        <v>42736</v>
      </c>
      <c r="B86">
        <v>2.3059201814490126E-2</v>
      </c>
      <c r="C86">
        <v>1.7531695855601367E-2</v>
      </c>
      <c r="D86">
        <v>1.2004189896712612E-2</v>
      </c>
    </row>
    <row r="87" spans="1:4" x14ac:dyDescent="0.2">
      <c r="A87" s="4">
        <v>42767</v>
      </c>
      <c r="B87">
        <v>3.3689616586036177E-2</v>
      </c>
      <c r="C87">
        <v>2.3800370731317154E-2</v>
      </c>
      <c r="D87">
        <v>1.3911124876598135E-2</v>
      </c>
    </row>
    <row r="88" spans="1:4" x14ac:dyDescent="0.2">
      <c r="A88" s="4">
        <v>42795</v>
      </c>
      <c r="B88">
        <v>-3.516307649207173E-3</v>
      </c>
      <c r="C88">
        <v>-2.3976153435562699E-3</v>
      </c>
      <c r="D88">
        <v>-1.2789230379053663E-3</v>
      </c>
    </row>
    <row r="89" spans="1:4" x14ac:dyDescent="0.2">
      <c r="A89" s="4">
        <v>42826</v>
      </c>
      <c r="B89">
        <v>1.4396504362221774E-2</v>
      </c>
      <c r="C89">
        <v>1.216177213891707E-2</v>
      </c>
      <c r="D89">
        <v>9.9270399156123675E-3</v>
      </c>
    </row>
    <row r="90" spans="1:4" x14ac:dyDescent="0.2">
      <c r="A90" s="4">
        <v>42856</v>
      </c>
      <c r="B90">
        <v>9.8338477292584398E-3</v>
      </c>
      <c r="C90">
        <v>8.9413946693783775E-3</v>
      </c>
      <c r="D90">
        <v>8.0489416094983168E-3</v>
      </c>
    </row>
    <row r="91" spans="1:4" x14ac:dyDescent="0.2">
      <c r="A91" s="4">
        <v>42887</v>
      </c>
      <c r="B91">
        <v>4.3935819098009695E-3</v>
      </c>
      <c r="C91">
        <v>3.0869576540627718E-3</v>
      </c>
      <c r="D91">
        <v>1.7803333983245739E-3</v>
      </c>
    </row>
    <row r="92" spans="1:4" x14ac:dyDescent="0.2">
      <c r="A92" s="4">
        <v>42917</v>
      </c>
      <c r="B92">
        <v>2.153789512500217E-2</v>
      </c>
      <c r="C92">
        <v>1.5726441867846528E-2</v>
      </c>
      <c r="D92">
        <v>9.9149886106908881E-3</v>
      </c>
    </row>
    <row r="93" spans="1:4" x14ac:dyDescent="0.2">
      <c r="A93" s="4">
        <v>42948</v>
      </c>
      <c r="B93">
        <v>2.4504608674961181E-3</v>
      </c>
      <c r="C93">
        <v>5.1964614941852894E-3</v>
      </c>
      <c r="D93">
        <v>7.9424621208744606E-3</v>
      </c>
    </row>
    <row r="94" spans="1:4" x14ac:dyDescent="0.2">
      <c r="A94" s="4">
        <v>42979</v>
      </c>
      <c r="B94">
        <v>1.7750220745583769E-2</v>
      </c>
      <c r="C94">
        <v>1.0952194856827724E-2</v>
      </c>
      <c r="D94">
        <v>4.1541689680716807E-3</v>
      </c>
    </row>
    <row r="95" spans="1:4" x14ac:dyDescent="0.2">
      <c r="A95" s="4">
        <v>43009</v>
      </c>
      <c r="B95">
        <v>2.3437389322429638E-2</v>
      </c>
      <c r="C95">
        <v>1.5520970707910118E-2</v>
      </c>
      <c r="D95">
        <v>7.6045520933906031E-3</v>
      </c>
    </row>
    <row r="96" spans="1:4" x14ac:dyDescent="0.2">
      <c r="A96" s="4">
        <v>43040</v>
      </c>
      <c r="B96">
        <v>2.7182335753256615E-2</v>
      </c>
      <c r="C96">
        <v>1.775759938794037E-2</v>
      </c>
      <c r="D96">
        <v>8.3328630226241259E-3</v>
      </c>
    </row>
    <row r="97" spans="1:4" x14ac:dyDescent="0.2">
      <c r="A97" s="4">
        <v>43070</v>
      </c>
      <c r="B97">
        <v>6.3167564586514629E-3</v>
      </c>
      <c r="C97">
        <v>5.200136202498839E-3</v>
      </c>
      <c r="D97">
        <v>4.083515946346216E-3</v>
      </c>
    </row>
    <row r="98" spans="1:4" x14ac:dyDescent="0.2">
      <c r="A98" s="4">
        <v>43101</v>
      </c>
      <c r="B98">
        <v>5.0949122314274328E-2</v>
      </c>
      <c r="C98">
        <v>3.1371240087662414E-2</v>
      </c>
      <c r="D98">
        <v>1.1793357861050492E-2</v>
      </c>
    </row>
    <row r="99" spans="1:4" x14ac:dyDescent="0.2">
      <c r="A99" s="4">
        <v>43132</v>
      </c>
      <c r="B99">
        <v>-3.5114862225816237E-2</v>
      </c>
      <c r="C99">
        <v>-2.7594227414103934E-2</v>
      </c>
      <c r="D99">
        <v>-2.0073592602391631E-2</v>
      </c>
    </row>
    <row r="100" spans="1:4" x14ac:dyDescent="0.2">
      <c r="A100" s="4">
        <v>43160</v>
      </c>
      <c r="B100">
        <v>-2.052826492521952E-2</v>
      </c>
      <c r="C100">
        <v>-1.1354878031082882E-2</v>
      </c>
      <c r="D100">
        <v>-2.181491136946245E-3</v>
      </c>
    </row>
    <row r="101" spans="1:4" x14ac:dyDescent="0.2">
      <c r="A101" s="4">
        <v>43191</v>
      </c>
      <c r="B101">
        <v>6.7735398083156205E-3</v>
      </c>
      <c r="C101">
        <v>1.5174290426906542E-3</v>
      </c>
      <c r="D101">
        <v>-3.7386817229343111E-3</v>
      </c>
    </row>
    <row r="102" spans="1:4" x14ac:dyDescent="0.2">
      <c r="A102" s="4">
        <v>43221</v>
      </c>
      <c r="B102">
        <v>2.5240666778577815E-2</v>
      </c>
      <c r="C102">
        <v>1.9162567661302442E-2</v>
      </c>
      <c r="D102">
        <v>1.3084468544027072E-2</v>
      </c>
    </row>
    <row r="103" spans="1:4" x14ac:dyDescent="0.2">
      <c r="A103" s="4">
        <v>43252</v>
      </c>
      <c r="B103">
        <v>2.4212990639397749E-3</v>
      </c>
      <c r="C103">
        <v>1.4560716087239189E-3</v>
      </c>
      <c r="D103">
        <v>4.9084415350806319E-4</v>
      </c>
    </row>
    <row r="104" spans="1:4" x14ac:dyDescent="0.2">
      <c r="A104" s="4">
        <v>43282</v>
      </c>
      <c r="B104">
        <v>3.4021738968561116E-2</v>
      </c>
      <c r="C104">
        <v>2.3366704848417942E-2</v>
      </c>
      <c r="D104">
        <v>1.2711670728274772E-2</v>
      </c>
    </row>
    <row r="105" spans="1:4" x14ac:dyDescent="0.2">
      <c r="A105" s="4">
        <v>43313</v>
      </c>
      <c r="B105">
        <v>3.1579651371423892E-2</v>
      </c>
      <c r="C105">
        <v>2.3263394567582238E-2</v>
      </c>
      <c r="D105">
        <v>1.4947137763740591E-2</v>
      </c>
    </row>
    <row r="106" spans="1:4" x14ac:dyDescent="0.2">
      <c r="A106" s="4">
        <v>43344</v>
      </c>
      <c r="B106">
        <v>-3.112843838733659E-3</v>
      </c>
      <c r="C106">
        <v>-3.905007561246965E-3</v>
      </c>
      <c r="D106">
        <v>-4.6971712837602705E-3</v>
      </c>
    </row>
    <row r="107" spans="1:4" x14ac:dyDescent="0.2">
      <c r="A107" s="4">
        <v>43374</v>
      </c>
      <c r="B107">
        <v>-6.3591978249510198E-2</v>
      </c>
      <c r="C107">
        <v>-4.5285889090064035E-2</v>
      </c>
      <c r="D107">
        <v>-2.6979799930617887E-2</v>
      </c>
    </row>
    <row r="108" spans="1:4" x14ac:dyDescent="0.2">
      <c r="A108" s="4">
        <v>43405</v>
      </c>
      <c r="B108">
        <v>1.8803713882643992E-2</v>
      </c>
      <c r="C108">
        <v>1.4603897069286243E-2</v>
      </c>
      <c r="D108">
        <v>1.0404080255928493E-2</v>
      </c>
    </row>
    <row r="109" spans="1:4" x14ac:dyDescent="0.2">
      <c r="A109" s="4">
        <v>43435</v>
      </c>
      <c r="B109">
        <v>-8.5776484467755723E-2</v>
      </c>
      <c r="C109">
        <v>-5.1756127985091438E-2</v>
      </c>
      <c r="D109">
        <v>-1.7735771502427167E-2</v>
      </c>
    </row>
    <row r="110" spans="1:4" x14ac:dyDescent="0.2">
      <c r="A110" s="4">
        <v>43466</v>
      </c>
      <c r="B110">
        <v>8.4211359038196279E-2</v>
      </c>
      <c r="C110">
        <v>6.1533978002232419E-2</v>
      </c>
      <c r="D110">
        <v>3.8856596966268551E-2</v>
      </c>
    </row>
    <row r="111" spans="1:4" x14ac:dyDescent="0.2">
      <c r="A111" s="4">
        <v>43497</v>
      </c>
      <c r="B111">
        <v>3.17027336970548E-2</v>
      </c>
      <c r="C111">
        <v>2.0012477700465593E-2</v>
      </c>
      <c r="D111">
        <v>8.3222217038763872E-3</v>
      </c>
    </row>
    <row r="112" spans="1:4" x14ac:dyDescent="0.2">
      <c r="A112" s="4">
        <v>43525</v>
      </c>
      <c r="B112">
        <v>9.8425186338487736E-3</v>
      </c>
      <c r="C112">
        <v>1.3064495269468068E-2</v>
      </c>
      <c r="D112">
        <v>1.6286471905087363E-2</v>
      </c>
    </row>
    <row r="113" spans="1:4" x14ac:dyDescent="0.2">
      <c r="A113" s="4">
        <v>43556</v>
      </c>
      <c r="B113">
        <v>4.0316337316442907E-2</v>
      </c>
      <c r="C113">
        <v>2.6726887727309686E-2</v>
      </c>
      <c r="D113">
        <v>1.313743813817647E-2</v>
      </c>
    </row>
    <row r="114" spans="1:4" x14ac:dyDescent="0.2">
      <c r="A114" s="4">
        <v>43586</v>
      </c>
      <c r="B114">
        <v>-5.6204131008340201E-2</v>
      </c>
      <c r="C114">
        <v>-3.1339383490034019E-2</v>
      </c>
      <c r="D114">
        <v>-6.4746359717278486E-3</v>
      </c>
    </row>
    <row r="115" spans="1:4" x14ac:dyDescent="0.2">
      <c r="A115" s="4">
        <v>43617</v>
      </c>
      <c r="B115">
        <v>6.1390351504368938E-2</v>
      </c>
      <c r="C115">
        <v>4.5120704042186328E-2</v>
      </c>
      <c r="D115">
        <v>2.8851056580003729E-2</v>
      </c>
    </row>
    <row r="116" spans="1:4" x14ac:dyDescent="0.2">
      <c r="A116" s="4">
        <v>43647</v>
      </c>
      <c r="B116">
        <v>1.6212863797588618E-2</v>
      </c>
      <c r="C116">
        <v>1.1295834063178311E-2</v>
      </c>
      <c r="D116">
        <v>6.3788043287680059E-3</v>
      </c>
    </row>
    <row r="117" spans="1:4" x14ac:dyDescent="0.2">
      <c r="A117" s="4">
        <v>43678</v>
      </c>
      <c r="B117">
        <v>-1.5946786599120945E-2</v>
      </c>
      <c r="C117">
        <v>-1.3867985199803798E-3</v>
      </c>
      <c r="D117">
        <v>1.3173189559160178E-2</v>
      </c>
    </row>
    <row r="118" spans="1:4" x14ac:dyDescent="0.2">
      <c r="A118" s="4">
        <v>43709</v>
      </c>
      <c r="B118">
        <v>1.1303106809055065E-2</v>
      </c>
      <c r="C118">
        <v>5.6890758928709751E-3</v>
      </c>
      <c r="D118">
        <v>7.5044976686888722E-5</v>
      </c>
    </row>
    <row r="119" spans="1:4" x14ac:dyDescent="0.2">
      <c r="A119" s="4">
        <v>43739</v>
      </c>
      <c r="B119">
        <v>2.3456865240531543E-2</v>
      </c>
      <c r="C119">
        <v>1.6685229973741045E-2</v>
      </c>
      <c r="D119">
        <v>9.9135947069505462E-3</v>
      </c>
    </row>
    <row r="120" spans="1:4" x14ac:dyDescent="0.2">
      <c r="A120" s="4">
        <v>43770</v>
      </c>
      <c r="B120">
        <v>3.405742461184684E-2</v>
      </c>
      <c r="C120">
        <v>2.2562580720730096E-2</v>
      </c>
      <c r="D120">
        <v>1.106773682961335E-2</v>
      </c>
    </row>
    <row r="121" spans="1:4" x14ac:dyDescent="0.2">
      <c r="A121" s="4">
        <v>43800</v>
      </c>
      <c r="B121">
        <v>1.9957536297988576E-2</v>
      </c>
      <c r="C121">
        <v>1.2308015225578339E-2</v>
      </c>
      <c r="D121">
        <v>4.6584941531681023E-3</v>
      </c>
    </row>
    <row r="122" spans="1:4" x14ac:dyDescent="0.2">
      <c r="A122" s="4">
        <v>43831</v>
      </c>
      <c r="B122">
        <v>6.7168742270414371E-3</v>
      </c>
      <c r="C122">
        <v>1.2573154246599039E-2</v>
      </c>
      <c r="D122">
        <v>1.842943426615664E-2</v>
      </c>
    </row>
    <row r="123" spans="1:4" x14ac:dyDescent="0.2">
      <c r="A123" s="4">
        <v>43862</v>
      </c>
      <c r="B123">
        <v>-7.0503826575763373E-2</v>
      </c>
      <c r="C123">
        <v>-4.2167590567012914E-2</v>
      </c>
      <c r="D123">
        <v>-1.3831354558262456E-2</v>
      </c>
    </row>
    <row r="124" spans="1:4" x14ac:dyDescent="0.2">
      <c r="A124" s="4">
        <v>43891</v>
      </c>
      <c r="B124">
        <v>-0.13025810746277303</v>
      </c>
      <c r="C124">
        <v>-9.1558745640565584E-2</v>
      </c>
      <c r="D124">
        <v>-5.2859383818358162E-2</v>
      </c>
    </row>
    <row r="125" spans="1:4" x14ac:dyDescent="0.2">
      <c r="A125" s="4">
        <v>43922</v>
      </c>
      <c r="B125">
        <v>0.12603239229978144</v>
      </c>
      <c r="C125">
        <v>9.3132365098473793E-2</v>
      </c>
      <c r="D125">
        <v>6.0232337897166151E-2</v>
      </c>
    </row>
    <row r="126" spans="1:4" x14ac:dyDescent="0.2">
      <c r="A126" s="4">
        <v>43952</v>
      </c>
      <c r="B126">
        <v>4.9246672790834146E-2</v>
      </c>
      <c r="C126">
        <v>3.5138703085840016E-2</v>
      </c>
      <c r="D126">
        <v>2.1030733380845889E-2</v>
      </c>
    </row>
    <row r="127" spans="1:4" x14ac:dyDescent="0.2">
      <c r="A127" s="4">
        <v>43983</v>
      </c>
      <c r="B127">
        <v>1.7154522553675933E-2</v>
      </c>
      <c r="C127">
        <v>1.3683135463572204E-2</v>
      </c>
      <c r="D127">
        <v>1.0211748373468475E-2</v>
      </c>
    </row>
    <row r="128" spans="1:4" x14ac:dyDescent="0.2">
      <c r="A128" s="4">
        <v>44013</v>
      </c>
      <c r="B128">
        <v>5.7523774003965203E-2</v>
      </c>
      <c r="C128">
        <v>4.325902019832277E-2</v>
      </c>
      <c r="D128">
        <v>2.8994266392680344E-2</v>
      </c>
    </row>
    <row r="129" spans="1:4" x14ac:dyDescent="0.2">
      <c r="A129" s="4">
        <v>44044</v>
      </c>
      <c r="B129">
        <v>6.3004253799698734E-2</v>
      </c>
      <c r="C129">
        <v>3.8879760296834397E-2</v>
      </c>
      <c r="D129">
        <v>1.4755266793970056E-2</v>
      </c>
    </row>
    <row r="130" spans="1:4" x14ac:dyDescent="0.2">
      <c r="A130" s="4">
        <v>44075</v>
      </c>
      <c r="B130">
        <v>-3.5462746517034051E-2</v>
      </c>
      <c r="C130">
        <v>-2.3952652022856367E-2</v>
      </c>
      <c r="D130">
        <v>-1.2442557528678688E-2</v>
      </c>
    </row>
    <row r="131" spans="1:4" x14ac:dyDescent="0.2">
      <c r="A131" s="4">
        <v>44105</v>
      </c>
      <c r="B131">
        <v>-1.4509056723623159E-2</v>
      </c>
      <c r="C131">
        <v>-1.1539371149082123E-2</v>
      </c>
      <c r="D131">
        <v>-8.5696855745410853E-3</v>
      </c>
    </row>
    <row r="132" spans="1:4" x14ac:dyDescent="0.2">
      <c r="A132" s="4">
        <v>44136</v>
      </c>
      <c r="B132">
        <v>0.10748508658185382</v>
      </c>
      <c r="C132">
        <v>7.572394526928275E-2</v>
      </c>
      <c r="D132">
        <v>4.3962803956711663E-2</v>
      </c>
    </row>
    <row r="133" spans="1:4" x14ac:dyDescent="0.2">
      <c r="A133" s="4">
        <v>44166</v>
      </c>
      <c r="B133">
        <v>3.8104668672033631E-2</v>
      </c>
      <c r="C133">
        <v>2.4829084983016038E-2</v>
      </c>
      <c r="D133">
        <v>1.1553501293998448E-2</v>
      </c>
    </row>
    <row r="134" spans="1:4" x14ac:dyDescent="0.2">
      <c r="A134" s="4">
        <v>44197</v>
      </c>
      <c r="B134">
        <v>2.2625814335397448E-4</v>
      </c>
      <c r="C134">
        <v>-1.0876608839069937E-3</v>
      </c>
      <c r="D134">
        <v>-2.401579911167961E-3</v>
      </c>
    </row>
    <row r="135" spans="1:4" x14ac:dyDescent="0.2">
      <c r="A135" s="4">
        <v>44228</v>
      </c>
      <c r="B135">
        <v>2.6572616159313844E-2</v>
      </c>
      <c r="C135">
        <v>1.2032250233007292E-2</v>
      </c>
      <c r="D135">
        <v>-2.5081156932992617E-3</v>
      </c>
    </row>
    <row r="136" spans="1:4" x14ac:dyDescent="0.2">
      <c r="A136" s="4">
        <v>44256</v>
      </c>
      <c r="B136">
        <v>2.847275598681125E-2</v>
      </c>
      <c r="C136">
        <v>1.4781295319120823E-2</v>
      </c>
      <c r="D136">
        <v>1.0898346514304005E-3</v>
      </c>
    </row>
    <row r="137" spans="1:4" x14ac:dyDescent="0.2">
      <c r="A137" s="4">
        <v>44287</v>
      </c>
      <c r="B137">
        <v>4.9281851493429916E-2</v>
      </c>
      <c r="C137">
        <v>3.546195067312783E-2</v>
      </c>
      <c r="D137">
        <v>2.1642049852825741E-2</v>
      </c>
    </row>
    <row r="138" spans="1:4" x14ac:dyDescent="0.2">
      <c r="A138" s="4">
        <v>44317</v>
      </c>
      <c r="B138">
        <v>4.3102992154715469E-3</v>
      </c>
      <c r="C138">
        <v>3.6451377485859915E-3</v>
      </c>
      <c r="D138">
        <v>2.979976281700436E-3</v>
      </c>
    </row>
    <row r="139" spans="1:4" x14ac:dyDescent="0.2">
      <c r="A139" s="4">
        <v>44348</v>
      </c>
      <c r="B139">
        <v>2.0404267366277696E-2</v>
      </c>
      <c r="C139">
        <v>1.6591569268955286E-2</v>
      </c>
      <c r="D139">
        <v>1.2778871171632875E-2</v>
      </c>
    </row>
    <row r="140" spans="1:4" x14ac:dyDescent="0.2">
      <c r="A140" s="4">
        <v>44378</v>
      </c>
      <c r="B140">
        <v>1.9617211376743705E-2</v>
      </c>
      <c r="C140">
        <v>1.6982813060013102E-2</v>
      </c>
      <c r="D140">
        <v>1.4348414743282498E-2</v>
      </c>
    </row>
    <row r="141" spans="1:4" x14ac:dyDescent="0.2">
      <c r="A141" s="4">
        <v>44409</v>
      </c>
      <c r="B141">
        <v>2.5537638053292355E-2</v>
      </c>
      <c r="C141">
        <v>1.6359667494671149E-2</v>
      </c>
      <c r="D141">
        <v>7.1816969360499411E-3</v>
      </c>
    </row>
    <row r="142" spans="1:4" x14ac:dyDescent="0.2">
      <c r="A142" s="4">
        <v>44440</v>
      </c>
      <c r="B142">
        <v>-4.3896087695165426E-2</v>
      </c>
      <c r="C142">
        <v>-3.2642286671649118E-2</v>
      </c>
      <c r="D142">
        <v>-2.1388485648132824E-2</v>
      </c>
    </row>
    <row r="143" spans="1:4" x14ac:dyDescent="0.2">
      <c r="A143" s="4">
        <v>44470</v>
      </c>
      <c r="B143">
        <v>6.3301648982174205E-2</v>
      </c>
      <c r="C143">
        <v>4.2470532165313116E-2</v>
      </c>
      <c r="D143">
        <v>2.1639415348452019E-2</v>
      </c>
    </row>
    <row r="144" spans="1:4" x14ac:dyDescent="0.2">
      <c r="A144" s="4">
        <v>44501</v>
      </c>
      <c r="B144">
        <v>-1.2960941869256082E-2</v>
      </c>
      <c r="C144">
        <v>-7.9675898188813262E-3</v>
      </c>
      <c r="D144">
        <v>-2.9742377685065711E-3</v>
      </c>
    </row>
    <row r="145" spans="1:4" x14ac:dyDescent="0.2">
      <c r="A145" s="4">
        <v>44531</v>
      </c>
      <c r="B145">
        <v>3.0182678391909214E-2</v>
      </c>
      <c r="C145">
        <v>1.8017182334710034E-2</v>
      </c>
      <c r="D145">
        <v>5.8516862775108581E-3</v>
      </c>
    </row>
    <row r="146" spans="1:4" x14ac:dyDescent="0.2">
      <c r="A146" s="4">
        <v>44562</v>
      </c>
      <c r="B146">
        <v>-5.3100788065234841E-2</v>
      </c>
      <c r="C146">
        <v>-4.0717996423643973E-2</v>
      </c>
      <c r="D146">
        <v>-2.8335204782053112E-2</v>
      </c>
    </row>
    <row r="147" spans="1:4" x14ac:dyDescent="0.2">
      <c r="A147" s="4">
        <v>44593</v>
      </c>
      <c r="B147">
        <v>-2.3704265159551641E-2</v>
      </c>
      <c r="C147">
        <v>-2.0153257873918261E-2</v>
      </c>
      <c r="D147">
        <v>-1.6602250588284882E-2</v>
      </c>
    </row>
    <row r="148" spans="1:4" x14ac:dyDescent="0.2">
      <c r="A148" s="4">
        <v>44621</v>
      </c>
      <c r="B148">
        <v>2.3719510371017005E-2</v>
      </c>
      <c r="C148">
        <v>6.6723239147537423E-3</v>
      </c>
      <c r="D148">
        <v>-1.0374862541509522E-2</v>
      </c>
    </row>
    <row r="149" spans="1:4" x14ac:dyDescent="0.2">
      <c r="A149" s="4">
        <v>44652</v>
      </c>
      <c r="B149">
        <v>-8.3694407344352809E-2</v>
      </c>
      <c r="C149">
        <v>-6.9345243463097492E-2</v>
      </c>
      <c r="D149">
        <v>-5.4996079581842182E-2</v>
      </c>
    </row>
    <row r="150" spans="1:4" x14ac:dyDescent="0.2">
      <c r="A150" s="4">
        <v>44682</v>
      </c>
      <c r="B150">
        <v>-1.3554525387035055E-3</v>
      </c>
      <c r="C150">
        <v>2.0801035986941496E-3</v>
      </c>
      <c r="D150">
        <v>5.5156597360918047E-3</v>
      </c>
    </row>
    <row r="151" spans="1:4" x14ac:dyDescent="0.2">
      <c r="A151" s="4">
        <v>44713</v>
      </c>
      <c r="B151">
        <v>-7.9026836892264488E-2</v>
      </c>
      <c r="C151">
        <v>-5.8254078357965852E-2</v>
      </c>
      <c r="D151">
        <v>-3.7481319823667224E-2</v>
      </c>
    </row>
    <row r="152" spans="1:4" x14ac:dyDescent="0.2">
      <c r="A152" s="4">
        <v>44743</v>
      </c>
      <c r="B152">
        <v>9.0431464309491921E-2</v>
      </c>
      <c r="C152">
        <v>6.820744237174145E-2</v>
      </c>
      <c r="D152">
        <v>4.5983420433990993E-2</v>
      </c>
    </row>
    <row r="153" spans="1:4" x14ac:dyDescent="0.2">
      <c r="A153" s="4">
        <v>44774</v>
      </c>
      <c r="B153">
        <v>-3.6379087601040853E-2</v>
      </c>
      <c r="C153">
        <v>-3.3555506109272007E-2</v>
      </c>
      <c r="D153">
        <v>-3.073192461750316E-2</v>
      </c>
    </row>
    <row r="154" spans="1:4" x14ac:dyDescent="0.2">
      <c r="A154" s="4">
        <v>44805</v>
      </c>
      <c r="B154">
        <v>-9.071162767516508E-2</v>
      </c>
      <c r="C154">
        <v>-7.447663462821022E-2</v>
      </c>
      <c r="D154">
        <v>-5.8241641581255346E-2</v>
      </c>
    </row>
    <row r="155" spans="1:4" x14ac:dyDescent="0.2">
      <c r="A155" s="4">
        <v>44835</v>
      </c>
      <c r="B155">
        <v>7.5981691381841021E-2</v>
      </c>
      <c r="C155">
        <v>4.6763819491153713E-2</v>
      </c>
      <c r="D155">
        <v>1.7545947600466405E-2</v>
      </c>
    </row>
    <row r="156" spans="1:4" x14ac:dyDescent="0.2">
      <c r="A156" s="4">
        <v>44866</v>
      </c>
      <c r="B156">
        <v>5.0184595541188814E-2</v>
      </c>
      <c r="C156">
        <v>4.5638544064378062E-2</v>
      </c>
      <c r="D156">
        <v>4.1092492587567309E-2</v>
      </c>
    </row>
    <row r="157" spans="1:4" x14ac:dyDescent="0.2">
      <c r="A157" s="4">
        <v>44896</v>
      </c>
      <c r="B157">
        <v>-5.7789567666678018E-2</v>
      </c>
      <c r="C157">
        <v>-4.1964920913017581E-2</v>
      </c>
      <c r="D157">
        <v>-2.6140274159357137E-2</v>
      </c>
    </row>
    <row r="158" spans="1:4" x14ac:dyDescent="0.2">
      <c r="A158" s="4">
        <v>44927</v>
      </c>
      <c r="B158">
        <v>7.0732746027029336E-2</v>
      </c>
      <c r="C158">
        <v>5.9808140578899008E-2</v>
      </c>
      <c r="D158">
        <v>4.8883535130768679E-2</v>
      </c>
    </row>
    <row r="159" spans="1:4" x14ac:dyDescent="0.2">
      <c r="A159" s="4">
        <v>44958</v>
      </c>
      <c r="B159">
        <v>-2.4516482547254626E-2</v>
      </c>
      <c r="C159">
        <v>-2.6036567901207296E-2</v>
      </c>
      <c r="D159">
        <v>-2.7556653255159966E-2</v>
      </c>
    </row>
    <row r="160" spans="1:4" x14ac:dyDescent="0.2">
      <c r="A160" s="4">
        <v>44986</v>
      </c>
      <c r="B160">
        <v>2.3322178413759987E-2</v>
      </c>
      <c r="C160">
        <v>2.4501499615553878E-2</v>
      </c>
      <c r="D160">
        <v>2.5680820817347773E-2</v>
      </c>
    </row>
    <row r="161" spans="1:4" x14ac:dyDescent="0.2">
      <c r="A161" s="4">
        <v>45017</v>
      </c>
      <c r="B161">
        <v>1.3943735702845527E-2</v>
      </c>
      <c r="C161">
        <v>1.1200013018172906E-2</v>
      </c>
      <c r="D161">
        <v>8.4562903335002829E-3</v>
      </c>
    </row>
    <row r="162" spans="1:4" x14ac:dyDescent="0.2">
      <c r="A162" s="4">
        <v>45047</v>
      </c>
      <c r="B162">
        <v>2.697891350889747E-3</v>
      </c>
      <c r="C162">
        <v>-2.0379777640805235E-3</v>
      </c>
      <c r="D162">
        <v>-6.7738468790507923E-3</v>
      </c>
    </row>
    <row r="163" spans="1:4" x14ac:dyDescent="0.2">
      <c r="A163" s="4">
        <v>45078</v>
      </c>
      <c r="B163">
        <v>5.6659009187073936E-2</v>
      </c>
      <c r="C163">
        <v>3.6966180528667805E-2</v>
      </c>
      <c r="D163">
        <v>1.7273351870261668E-2</v>
      </c>
    </row>
    <row r="164" spans="1:4" x14ac:dyDescent="0.2">
      <c r="A164" s="4">
        <v>45108</v>
      </c>
      <c r="B164">
        <v>3.6433413999362778E-2</v>
      </c>
      <c r="C164">
        <v>2.3884718523954972E-2</v>
      </c>
      <c r="D164">
        <v>1.1336023048547172E-2</v>
      </c>
    </row>
    <row r="165" spans="1:4" x14ac:dyDescent="0.2">
      <c r="A165" s="4">
        <v>45139</v>
      </c>
      <c r="B165">
        <v>-1.8068730504353415E-2</v>
      </c>
      <c r="C165">
        <v>-1.4271752445306275E-2</v>
      </c>
      <c r="D165">
        <v>-1.0474774386259133E-2</v>
      </c>
    </row>
    <row r="166" spans="1:4" x14ac:dyDescent="0.2">
      <c r="A166" s="4">
        <v>45170</v>
      </c>
      <c r="B166">
        <v>-4.8824368908402541E-2</v>
      </c>
      <c r="C166">
        <v>-4.0851081691417865E-2</v>
      </c>
      <c r="D166">
        <v>-3.2877794474433196E-2</v>
      </c>
    </row>
    <row r="167" spans="1:4" x14ac:dyDescent="0.2">
      <c r="A167" s="4">
        <v>45200</v>
      </c>
      <c r="B167">
        <v>-2.2110855274594166E-2</v>
      </c>
      <c r="C167">
        <v>-1.980690257625195E-2</v>
      </c>
      <c r="D167">
        <v>-1.7502949877909735E-2</v>
      </c>
    </row>
    <row r="168" spans="1:4" x14ac:dyDescent="0.2">
      <c r="A168" s="4">
        <v>45231</v>
      </c>
      <c r="B168">
        <v>8.9259391764213311E-2</v>
      </c>
      <c r="C168">
        <v>7.4568578863758173E-2</v>
      </c>
      <c r="D168">
        <v>5.9877765963303048E-2</v>
      </c>
    </row>
    <row r="169" spans="1:4" x14ac:dyDescent="0.2">
      <c r="A169" s="4">
        <v>45261</v>
      </c>
      <c r="B169">
        <v>4.6873549709223042E-2</v>
      </c>
      <c r="C169">
        <v>4.2158862134255501E-2</v>
      </c>
      <c r="D169">
        <v>3.7444174559287967E-2</v>
      </c>
    </row>
    <row r="170" spans="1:4" x14ac:dyDescent="0.2">
      <c r="A170" s="4">
        <v>45292</v>
      </c>
      <c r="B170">
        <v>1.4365921240119194E-2</v>
      </c>
      <c r="C170">
        <v>1.0953066990268169E-2</v>
      </c>
      <c r="D170">
        <v>7.5402127404171401E-3</v>
      </c>
    </row>
    <row r="171" spans="1:4" x14ac:dyDescent="0.2">
      <c r="A171" s="4">
        <v>45323</v>
      </c>
      <c r="B171">
        <v>4.6027614929199587E-2</v>
      </c>
      <c r="C171">
        <v>2.5155618799932177E-2</v>
      </c>
      <c r="D171">
        <v>4.2836226706647676E-3</v>
      </c>
    </row>
    <row r="172" spans="1:4" x14ac:dyDescent="0.2">
      <c r="A172" s="4">
        <v>45352</v>
      </c>
      <c r="B172">
        <v>2.6926800743963586E-2</v>
      </c>
      <c r="C172">
        <v>2.0837203381978586E-2</v>
      </c>
      <c r="D172">
        <v>1.4747606019993587E-2</v>
      </c>
    </row>
    <row r="173" spans="1:4" x14ac:dyDescent="0.2">
      <c r="A173" s="4">
        <v>45383</v>
      </c>
      <c r="B173">
        <v>-3.8482527843396133E-2</v>
      </c>
      <c r="C173">
        <v>-3.3745393975415802E-2</v>
      </c>
      <c r="D173">
        <v>-2.9008260107435478E-2</v>
      </c>
    </row>
    <row r="174" spans="1:4" x14ac:dyDescent="0.2">
      <c r="A174" s="4">
        <v>45413</v>
      </c>
      <c r="B174">
        <v>4.4483287583253178E-2</v>
      </c>
      <c r="C174">
        <v>3.5216979122947391E-2</v>
      </c>
      <c r="D174">
        <v>2.5950670662641603E-2</v>
      </c>
    </row>
    <row r="175" spans="1:4" x14ac:dyDescent="0.2">
      <c r="A175" s="4">
        <v>45444</v>
      </c>
      <c r="B175">
        <v>2.5324821781109286E-2</v>
      </c>
      <c r="C175">
        <v>1.9817224168161118E-2</v>
      </c>
      <c r="D175">
        <v>1.4309626555212951E-2</v>
      </c>
    </row>
    <row r="176" spans="1:4" x14ac:dyDescent="0.2">
      <c r="A176" s="4">
        <v>45474</v>
      </c>
      <c r="B176">
        <v>2.2607393674354204E-2</v>
      </c>
      <c r="C176">
        <v>2.2909513558708693E-2</v>
      </c>
      <c r="D176">
        <v>2.3211633443063186E-2</v>
      </c>
    </row>
    <row r="177" spans="1:4" x14ac:dyDescent="0.2">
      <c r="A177" s="4">
        <v>45505</v>
      </c>
      <c r="B177">
        <v>2.0664080227759785E-2</v>
      </c>
      <c r="C177">
        <v>1.8640475774823084E-2</v>
      </c>
      <c r="D177">
        <v>1.6616871321886384E-2</v>
      </c>
    </row>
    <row r="178" spans="1:4" x14ac:dyDescent="0.2">
      <c r="A178" s="4">
        <v>45536</v>
      </c>
      <c r="B178">
        <v>1.6768975410822763E-2</v>
      </c>
      <c r="C178">
        <v>1.5594013608164614E-2</v>
      </c>
      <c r="D178">
        <v>1.4419051805506466E-2</v>
      </c>
    </row>
    <row r="179" spans="1:4" x14ac:dyDescent="0.2">
      <c r="A179" s="4">
        <v>45566</v>
      </c>
      <c r="B179">
        <v>-6.4600704934937086E-3</v>
      </c>
      <c r="C179">
        <v>-1.2458505651085328E-2</v>
      </c>
      <c r="D179">
        <v>-1.8456940808676946E-2</v>
      </c>
    </row>
    <row r="180" spans="1:4" x14ac:dyDescent="0.2">
      <c r="A180" s="4">
        <v>45597</v>
      </c>
      <c r="B180">
        <v>6.1329997434825347E-2</v>
      </c>
      <c r="C180">
        <v>4.4344379983203418E-2</v>
      </c>
      <c r="D180">
        <v>2.7358762531581492E-2</v>
      </c>
    </row>
    <row r="181" spans="1:4" x14ac:dyDescent="0.2">
      <c r="A181" s="4">
        <v>45627</v>
      </c>
      <c r="B181">
        <v>-3.2125282376053367E-2</v>
      </c>
      <c r="C181">
        <v>-2.8023632806051822E-2</v>
      </c>
      <c r="D181">
        <v>-2.3921983236050281E-2</v>
      </c>
    </row>
    <row r="182" spans="1:4" x14ac:dyDescent="0.2">
      <c r="A182" s="4">
        <v>45658</v>
      </c>
      <c r="B182">
        <v>3.1495296557374063E-2</v>
      </c>
      <c r="C182">
        <v>2.5070184127183516E-2</v>
      </c>
      <c r="D182">
        <v>1.8645071696992963E-2</v>
      </c>
    </row>
    <row r="183" spans="1:4" x14ac:dyDescent="0.2">
      <c r="A183" s="4">
        <v>45689</v>
      </c>
      <c r="B183">
        <v>-1.5167983201874714E-2</v>
      </c>
      <c r="C183">
        <v>-4.0278650108886097E-3</v>
      </c>
      <c r="D183">
        <v>7.112253180097494E-3</v>
      </c>
    </row>
    <row r="184" spans="1:4" x14ac:dyDescent="0.2">
      <c r="A184" s="4">
        <v>45717</v>
      </c>
      <c r="B184">
        <v>-5.5618784064685615E-2</v>
      </c>
      <c r="C184">
        <v>-3.6938046116047736E-2</v>
      </c>
      <c r="D184">
        <v>-1.8257308167409867E-2</v>
      </c>
    </row>
    <row r="185" spans="1:4" x14ac:dyDescent="0.2">
      <c r="A185" s="4">
        <v>45748</v>
      </c>
      <c r="B185">
        <v>-3.1134612665174367E-3</v>
      </c>
      <c r="C185">
        <v>-8.5291699182423711E-4</v>
      </c>
      <c r="D185">
        <v>1.4076272828689618E-3</v>
      </c>
    </row>
    <row r="186" spans="1:4" x14ac:dyDescent="0.2">
      <c r="A186" s="4">
        <v>45778</v>
      </c>
      <c r="B186">
        <v>5.5605967986441532E-2</v>
      </c>
      <c r="C186">
        <v>3.4868414980371562E-2</v>
      </c>
      <c r="D186">
        <v>1.4130861974301599E-2</v>
      </c>
    </row>
    <row r="187" spans="1:4" x14ac:dyDescent="0.2">
      <c r="A187" s="4">
        <v>45809</v>
      </c>
      <c r="B187">
        <v>4.512357655715573E-2</v>
      </c>
      <c r="C187">
        <v>3.5082148533504977E-2</v>
      </c>
      <c r="D187">
        <v>2.5040720509854217E-2</v>
      </c>
    </row>
    <row r="188" spans="1:4" x14ac:dyDescent="0.2">
      <c r="A188" s="4">
        <v>45839</v>
      </c>
      <c r="B188">
        <v>2.3136155745335361E-2</v>
      </c>
      <c r="C188">
        <v>1.458763373402947E-2</v>
      </c>
      <c r="D188">
        <v>6.0391117227235778E-3</v>
      </c>
    </row>
    <row r="189" spans="1:4" x14ac:dyDescent="0.2">
      <c r="A189" s="4">
        <v>45870</v>
      </c>
      <c r="B189">
        <v>2.2310534972642796E-2</v>
      </c>
      <c r="C189">
        <v>1.8693862355393387E-2</v>
      </c>
      <c r="D189">
        <v>1.5077189738143981E-2</v>
      </c>
    </row>
    <row r="190" spans="1:4" x14ac:dyDescent="0.2">
      <c r="A190" s="4">
        <v>45901</v>
      </c>
      <c r="B190">
        <v>2.9292649945334006E-2</v>
      </c>
      <c r="C190">
        <v>2.3213201386797701E-2</v>
      </c>
      <c r="D190">
        <v>1.7133752828261392E-2</v>
      </c>
    </row>
    <row r="191" spans="1:4" x14ac:dyDescent="0.2">
      <c r="A191" s="4">
        <v>45931</v>
      </c>
      <c r="B191">
        <v>2.3064673664540791E-2</v>
      </c>
      <c r="C191">
        <v>1.7426469609898909E-2</v>
      </c>
      <c r="D191">
        <v>1.1788265555257027E-2</v>
      </c>
    </row>
    <row r="192" spans="1:4" x14ac:dyDescent="0.2">
      <c r="A192" s="4">
        <v>45962</v>
      </c>
      <c r="B192">
        <v>2.9789140302960869E-3</v>
      </c>
      <c r="C192">
        <v>3.9328773966349042E-3</v>
      </c>
      <c r="D192">
        <v>4.8868407629737206E-3</v>
      </c>
    </row>
    <row r="193" spans="1:4" x14ac:dyDescent="0.2">
      <c r="A193" s="4">
        <v>45992</v>
      </c>
      <c r="B193">
        <v>-3.4122324249656892E-3</v>
      </c>
      <c r="C193">
        <v>-4.3454945853586002E-3</v>
      </c>
      <c r="D193">
        <v>-5.2787567457515108E-3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B732-36D9-4447-9F7C-BB423F9A05D6}">
  <dimension ref="A1:D193"/>
  <sheetViews>
    <sheetView workbookViewId="0">
      <selection activeCell="F21" sqref="F21"/>
    </sheetView>
  </sheetViews>
  <sheetFormatPr baseColWidth="10" defaultRowHeight="16" x14ac:dyDescent="0.2"/>
  <cols>
    <col min="1" max="1" width="12.33203125" bestFit="1" customWidth="1"/>
    <col min="2" max="2" width="13.33203125" customWidth="1"/>
    <col min="3" max="3" width="15" customWidth="1"/>
    <col min="4" max="4" width="17.6640625" customWidth="1"/>
  </cols>
  <sheetData>
    <row r="1" spans="1:4" x14ac:dyDescent="0.2">
      <c r="A1" s="4" t="s">
        <v>0</v>
      </c>
      <c r="B1" s="2" t="s">
        <v>8</v>
      </c>
      <c r="C1" s="2" t="s">
        <v>9</v>
      </c>
      <c r="D1" s="2" t="s">
        <v>10</v>
      </c>
    </row>
    <row r="2" spans="1:4" x14ac:dyDescent="0.2">
      <c r="A2" s="4">
        <v>40179</v>
      </c>
      <c r="B2">
        <v>10000</v>
      </c>
      <c r="C2">
        <v>10000</v>
      </c>
      <c r="D2">
        <v>10000</v>
      </c>
    </row>
    <row r="3" spans="1:4" x14ac:dyDescent="0.2">
      <c r="A3" s="4">
        <v>40210</v>
      </c>
      <c r="B3">
        <v>10309.712716477476</v>
      </c>
      <c r="C3">
        <v>10207.14354883673</v>
      </c>
      <c r="D3">
        <v>10104.574381195987</v>
      </c>
    </row>
    <row r="4" spans="1:4" x14ac:dyDescent="0.2">
      <c r="A4" s="4">
        <v>40238</v>
      </c>
      <c r="B4">
        <v>10861.176015097892</v>
      </c>
      <c r="C4">
        <v>10564.307019767106</v>
      </c>
      <c r="D4">
        <v>10271.23270740208</v>
      </c>
    </row>
    <row r="5" spans="1:4" x14ac:dyDescent="0.2">
      <c r="A5" s="4">
        <v>40269</v>
      </c>
      <c r="B5">
        <v>11124.837263034351</v>
      </c>
      <c r="C5">
        <v>10772.06152622232</v>
      </c>
      <c r="D5">
        <v>10425.874659162782</v>
      </c>
    </row>
    <row r="6" spans="1:4" x14ac:dyDescent="0.2">
      <c r="A6" s="4">
        <v>40299</v>
      </c>
      <c r="B6">
        <v>10349.05254184216</v>
      </c>
      <c r="C6">
        <v>10311.961828996982</v>
      </c>
      <c r="D6">
        <v>10262.291079275776</v>
      </c>
    </row>
    <row r="7" spans="1:4" x14ac:dyDescent="0.2">
      <c r="A7" s="4">
        <v>40330</v>
      </c>
      <c r="B7">
        <v>9778.5462455398574</v>
      </c>
      <c r="C7">
        <v>9982.9897220452895</v>
      </c>
      <c r="D7">
        <v>10173.239503743243</v>
      </c>
    </row>
    <row r="8" spans="1:4" x14ac:dyDescent="0.2">
      <c r="A8" s="4">
        <v>40360</v>
      </c>
      <c r="B8">
        <v>10448.419351233988</v>
      </c>
      <c r="C8">
        <v>10468.568106572906</v>
      </c>
      <c r="D8">
        <v>10465.99267437317</v>
      </c>
    </row>
    <row r="9" spans="1:4" x14ac:dyDescent="0.2">
      <c r="A9" s="4">
        <v>40391</v>
      </c>
      <c r="B9">
        <v>10022.953085400359</v>
      </c>
      <c r="C9">
        <v>10238.659902782776</v>
      </c>
      <c r="D9">
        <v>10432.471251554885</v>
      </c>
    </row>
    <row r="10" spans="1:4" x14ac:dyDescent="0.2">
      <c r="A10" s="4">
        <v>40422</v>
      </c>
      <c r="B10">
        <v>10825.919925272916</v>
      </c>
      <c r="C10">
        <v>10785.491714167298</v>
      </c>
      <c r="D10">
        <v>10711.062747213131</v>
      </c>
    </row>
    <row r="11" spans="1:4" x14ac:dyDescent="0.2">
      <c r="A11" s="4">
        <v>40452</v>
      </c>
      <c r="B11">
        <v>11272.57798745499</v>
      </c>
      <c r="C11">
        <v>11093.709585049524</v>
      </c>
      <c r="D11">
        <v>10881.325302960795</v>
      </c>
    </row>
    <row r="12" spans="1:4" x14ac:dyDescent="0.2">
      <c r="A12" s="4">
        <v>40483</v>
      </c>
      <c r="B12">
        <v>11317.157756658382</v>
      </c>
      <c r="C12">
        <v>11097.166630225556</v>
      </c>
      <c r="D12">
        <v>10845.074547470727</v>
      </c>
    </row>
    <row r="13" spans="1:4" x14ac:dyDescent="0.2">
      <c r="A13" s="4">
        <v>40513</v>
      </c>
      <c r="B13">
        <v>11947.975145201199</v>
      </c>
      <c r="C13">
        <v>11445.638814132884</v>
      </c>
      <c r="D13">
        <v>10921.683059946658</v>
      </c>
    </row>
    <row r="14" spans="1:4" x14ac:dyDescent="0.2">
      <c r="A14" s="4">
        <v>40544</v>
      </c>
      <c r="B14">
        <v>12240.517846456029</v>
      </c>
      <c r="C14">
        <v>11674.473976426278</v>
      </c>
      <c r="D14">
        <v>11090.988022731668</v>
      </c>
    </row>
    <row r="15" spans="1:4" x14ac:dyDescent="0.2">
      <c r="A15" s="4">
        <v>40575</v>
      </c>
      <c r="B15">
        <v>12649.255986558535</v>
      </c>
      <c r="C15">
        <v>11934.36509321598</v>
      </c>
      <c r="D15">
        <v>11214.438949486455</v>
      </c>
    </row>
    <row r="16" spans="1:4" x14ac:dyDescent="0.2">
      <c r="A16" s="4">
        <v>40603</v>
      </c>
      <c r="B16">
        <v>12647.564263365835</v>
      </c>
      <c r="C16">
        <v>11927.980641121787</v>
      </c>
      <c r="D16">
        <v>11203.94014343898</v>
      </c>
    </row>
    <row r="17" spans="1:4" x14ac:dyDescent="0.2">
      <c r="A17" s="4">
        <v>40634</v>
      </c>
      <c r="B17">
        <v>13043.010537697697</v>
      </c>
      <c r="C17">
        <v>12234.422709026976</v>
      </c>
      <c r="D17">
        <v>11429.312528785023</v>
      </c>
    </row>
    <row r="18" spans="1:4" x14ac:dyDescent="0.2">
      <c r="A18" s="4">
        <v>40664</v>
      </c>
      <c r="B18">
        <v>12933.763115565853</v>
      </c>
      <c r="C18">
        <v>12214.554805010455</v>
      </c>
      <c r="D18">
        <v>11487.922804337632</v>
      </c>
    </row>
    <row r="19" spans="1:4" x14ac:dyDescent="0.2">
      <c r="A19" s="4">
        <v>40695</v>
      </c>
      <c r="B19">
        <v>12672.422845660156</v>
      </c>
      <c r="C19">
        <v>12034.840952877285</v>
      </c>
      <c r="D19">
        <v>11382.002652713269</v>
      </c>
    </row>
    <row r="20" spans="1:4" x14ac:dyDescent="0.2">
      <c r="A20" s="4">
        <v>40725</v>
      </c>
      <c r="B20">
        <v>12481.398777225568</v>
      </c>
      <c r="C20">
        <v>11979.183243001577</v>
      </c>
      <c r="D20">
        <v>11448.297893025296</v>
      </c>
    </row>
    <row r="21" spans="1:4" x14ac:dyDescent="0.2">
      <c r="A21" s="4">
        <v>40756</v>
      </c>
      <c r="B21">
        <v>11819.366564439075</v>
      </c>
      <c r="C21">
        <v>11621.734068300912</v>
      </c>
      <c r="D21">
        <v>11372.316909694087</v>
      </c>
    </row>
    <row r="22" spans="1:4" x14ac:dyDescent="0.2">
      <c r="A22" s="4">
        <v>40787</v>
      </c>
      <c r="B22">
        <v>10968.725051097234</v>
      </c>
      <c r="C22">
        <v>11090.775896826412</v>
      </c>
      <c r="D22">
        <v>11151.657924135707</v>
      </c>
    </row>
    <row r="23" spans="1:4" x14ac:dyDescent="0.2">
      <c r="A23" s="4">
        <v>40817</v>
      </c>
      <c r="B23">
        <v>12150.118817990122</v>
      </c>
      <c r="C23">
        <v>11891.124222981114</v>
      </c>
      <c r="D23">
        <v>11560.044814485245</v>
      </c>
    </row>
    <row r="24" spans="1:4" x14ac:dyDescent="0.2">
      <c r="A24" s="4">
        <v>40848</v>
      </c>
      <c r="B24">
        <v>12110.176251023053</v>
      </c>
      <c r="C24">
        <v>11862.927459147137</v>
      </c>
      <c r="D24">
        <v>11543.224172073382</v>
      </c>
    </row>
    <row r="25" spans="1:4" x14ac:dyDescent="0.2">
      <c r="A25" s="4">
        <v>40878</v>
      </c>
      <c r="B25">
        <v>12159.501712793146</v>
      </c>
      <c r="C25">
        <v>11913.617807878483</v>
      </c>
      <c r="D25">
        <v>11594.856449496545</v>
      </c>
    </row>
    <row r="26" spans="1:4" x14ac:dyDescent="0.2">
      <c r="A26" s="4">
        <v>40909</v>
      </c>
      <c r="B26">
        <v>12799.184202492515</v>
      </c>
      <c r="C26">
        <v>12395.38634837437</v>
      </c>
      <c r="D26">
        <v>11922.635239597299</v>
      </c>
    </row>
    <row r="27" spans="1:4" x14ac:dyDescent="0.2">
      <c r="A27" s="4">
        <v>40940</v>
      </c>
      <c r="B27">
        <v>13281.524762301702</v>
      </c>
      <c r="C27">
        <v>12698.072758703256</v>
      </c>
      <c r="D27">
        <v>12055.611990907159</v>
      </c>
    </row>
    <row r="28" spans="1:4" x14ac:dyDescent="0.2">
      <c r="A28" s="4">
        <v>40969</v>
      </c>
      <c r="B28">
        <v>13589.013132450413</v>
      </c>
      <c r="C28">
        <v>12873.150226209222</v>
      </c>
      <c r="D28">
        <v>12108.944243482527</v>
      </c>
    </row>
    <row r="29" spans="1:4" x14ac:dyDescent="0.2">
      <c r="A29" s="4">
        <v>41000</v>
      </c>
      <c r="B29">
        <v>13576.594515748953</v>
      </c>
      <c r="C29">
        <v>12907.913457346594</v>
      </c>
      <c r="D29">
        <v>12185.409337059971</v>
      </c>
    </row>
    <row r="30" spans="1:4" x14ac:dyDescent="0.2">
      <c r="A30" s="4">
        <v>41030</v>
      </c>
      <c r="B30">
        <v>12832.076488023456</v>
      </c>
      <c r="C30">
        <v>12481.337078847617</v>
      </c>
      <c r="D30">
        <v>12048.238455365905</v>
      </c>
    </row>
    <row r="31" spans="1:4" x14ac:dyDescent="0.2">
      <c r="A31" s="4">
        <v>41061</v>
      </c>
      <c r="B31">
        <v>13238.191691749973</v>
      </c>
      <c r="C31">
        <v>12747.571517397191</v>
      </c>
      <c r="D31">
        <v>12180.922870672975</v>
      </c>
    </row>
    <row r="32" spans="1:4" x14ac:dyDescent="0.2">
      <c r="A32" s="4">
        <v>41091</v>
      </c>
      <c r="B32">
        <v>13419.534626564084</v>
      </c>
      <c r="C32">
        <v>12916.363485663305</v>
      </c>
      <c r="D32">
        <v>12336.640723071305</v>
      </c>
    </row>
    <row r="33" spans="1:4" x14ac:dyDescent="0.2">
      <c r="A33" s="4">
        <v>41122</v>
      </c>
      <c r="B33">
        <v>13749.435262244053</v>
      </c>
      <c r="C33">
        <v>13134.696092669903</v>
      </c>
      <c r="D33">
        <v>12450.427980874851</v>
      </c>
    </row>
    <row r="34" spans="1:4" x14ac:dyDescent="0.2">
      <c r="A34" s="4">
        <v>41153</v>
      </c>
      <c r="B34">
        <v>13996.742863102778</v>
      </c>
      <c r="C34">
        <v>13300.44305826295</v>
      </c>
      <c r="D34">
        <v>12540.709642180133</v>
      </c>
    </row>
    <row r="35" spans="1:4" x14ac:dyDescent="0.2">
      <c r="A35" s="4">
        <v>41183</v>
      </c>
      <c r="B35">
        <v>13829.084729331673</v>
      </c>
      <c r="C35">
        <v>13190.442673464662</v>
      </c>
      <c r="D35">
        <v>12483.492749176869</v>
      </c>
    </row>
    <row r="36" spans="1:4" x14ac:dyDescent="0.2">
      <c r="A36" s="4">
        <v>41214</v>
      </c>
      <c r="B36">
        <v>13930.037932370877</v>
      </c>
      <c r="C36">
        <v>13265.918320126062</v>
      </c>
      <c r="D36">
        <v>12535.223419155282</v>
      </c>
    </row>
    <row r="37" spans="1:4" x14ac:dyDescent="0.2">
      <c r="A37" s="4">
        <v>41244</v>
      </c>
      <c r="B37">
        <v>13982.130609736443</v>
      </c>
      <c r="C37">
        <v>13251.459211087047</v>
      </c>
      <c r="D37">
        <v>12461.021395956859</v>
      </c>
    </row>
    <row r="38" spans="1:4" x14ac:dyDescent="0.2">
      <c r="A38" s="4">
        <v>41275</v>
      </c>
      <c r="B38">
        <v>14757.283222492295</v>
      </c>
      <c r="C38">
        <v>13719.891043843849</v>
      </c>
      <c r="D38">
        <v>12651.177837269184</v>
      </c>
    </row>
    <row r="39" spans="1:4" x14ac:dyDescent="0.2">
      <c r="A39" s="4">
        <v>41306</v>
      </c>
      <c r="B39">
        <v>14931.703537892294</v>
      </c>
      <c r="C39">
        <v>13843.056492165919</v>
      </c>
      <c r="D39">
        <v>12728.79306040882</v>
      </c>
    </row>
    <row r="40" spans="1:4" x14ac:dyDescent="0.2">
      <c r="A40" s="4">
        <v>41334</v>
      </c>
      <c r="B40">
        <v>15400.457733553934</v>
      </c>
      <c r="C40">
        <v>14136.760649715801</v>
      </c>
      <c r="D40">
        <v>12869.321609456538</v>
      </c>
    </row>
    <row r="41" spans="1:4" x14ac:dyDescent="0.2">
      <c r="A41" s="4">
        <v>41365</v>
      </c>
      <c r="B41">
        <v>15699.880581836371</v>
      </c>
      <c r="C41">
        <v>14359.847935448626</v>
      </c>
      <c r="D41">
        <v>13025.282829886599</v>
      </c>
    </row>
    <row r="42" spans="1:4" x14ac:dyDescent="0.2">
      <c r="A42" s="4">
        <v>41395</v>
      </c>
      <c r="B42">
        <v>16018.034007047425</v>
      </c>
      <c r="C42">
        <v>14469.468507226598</v>
      </c>
      <c r="D42">
        <v>12960.194804719416</v>
      </c>
    </row>
    <row r="43" spans="1:4" x14ac:dyDescent="0.2">
      <c r="A43" s="4">
        <v>41426</v>
      </c>
      <c r="B43">
        <v>15717.27266023011</v>
      </c>
      <c r="C43">
        <v>14208.519532238539</v>
      </c>
      <c r="D43">
        <v>12736.080782549223</v>
      </c>
    </row>
    <row r="44" spans="1:4" x14ac:dyDescent="0.2">
      <c r="A44" s="4">
        <v>41456</v>
      </c>
      <c r="B44">
        <v>16605.621357256026</v>
      </c>
      <c r="C44">
        <v>14761.52070615804</v>
      </c>
      <c r="D44">
        <v>13007.617208705828</v>
      </c>
    </row>
    <row r="45" spans="1:4" x14ac:dyDescent="0.2">
      <c r="A45" s="4">
        <v>41487</v>
      </c>
      <c r="B45">
        <v>16138.993600943877</v>
      </c>
      <c r="C45">
        <v>14443.297920808032</v>
      </c>
      <c r="D45">
        <v>12812.313214031024</v>
      </c>
    </row>
    <row r="46" spans="1:4" x14ac:dyDescent="0.2">
      <c r="A46" s="4">
        <v>41518</v>
      </c>
      <c r="B46">
        <v>16650.653488180164</v>
      </c>
      <c r="C46">
        <v>14801.696908596035</v>
      </c>
      <c r="D46">
        <v>13041.974973190896</v>
      </c>
    </row>
    <row r="47" spans="1:4" x14ac:dyDescent="0.2">
      <c r="A47" s="4">
        <v>41548</v>
      </c>
      <c r="B47">
        <v>17379.53236461067</v>
      </c>
      <c r="C47">
        <v>15275.352621861484</v>
      </c>
      <c r="D47">
        <v>13305.754131418393</v>
      </c>
    </row>
    <row r="48" spans="1:4" x14ac:dyDescent="0.2">
      <c r="A48" s="4">
        <v>41579</v>
      </c>
      <c r="B48">
        <v>17797.859974812745</v>
      </c>
      <c r="C48">
        <v>15505.360651754663</v>
      </c>
      <c r="D48">
        <v>13386.184648450779</v>
      </c>
    </row>
    <row r="49" spans="1:4" x14ac:dyDescent="0.2">
      <c r="A49" s="4">
        <v>41609</v>
      </c>
      <c r="B49">
        <v>18132.165041645199</v>
      </c>
      <c r="C49">
        <v>15651.558358034403</v>
      </c>
      <c r="D49">
        <v>13387.178659242247</v>
      </c>
    </row>
    <row r="50" spans="1:4" x14ac:dyDescent="0.2">
      <c r="A50" s="4">
        <v>41640</v>
      </c>
      <c r="B50">
        <v>17736.13554610854</v>
      </c>
      <c r="C50">
        <v>15531.542974966644</v>
      </c>
      <c r="D50">
        <v>13474.267169618757</v>
      </c>
    </row>
    <row r="51" spans="1:4" x14ac:dyDescent="0.2">
      <c r="A51" s="4">
        <v>41671</v>
      </c>
      <c r="B51">
        <v>18517.297458472774</v>
      </c>
      <c r="C51">
        <v>16001.032789288907</v>
      </c>
      <c r="D51">
        <v>13695.417303999724</v>
      </c>
    </row>
    <row r="52" spans="1:4" x14ac:dyDescent="0.2">
      <c r="A52" s="4">
        <v>41699</v>
      </c>
      <c r="B52">
        <v>18524.575524999858</v>
      </c>
      <c r="C52">
        <v>15996.01362426111</v>
      </c>
      <c r="D52">
        <v>13681.442546176635</v>
      </c>
    </row>
    <row r="53" spans="1:4" x14ac:dyDescent="0.2">
      <c r="A53" s="4">
        <v>41730</v>
      </c>
      <c r="B53">
        <v>18622.787786063534</v>
      </c>
      <c r="C53">
        <v>16094.063446072731</v>
      </c>
      <c r="D53">
        <v>13776.631922734759</v>
      </c>
    </row>
    <row r="54" spans="1:4" x14ac:dyDescent="0.2">
      <c r="A54" s="4">
        <v>41760</v>
      </c>
      <c r="B54">
        <v>18994.943861271484</v>
      </c>
      <c r="C54">
        <v>16366.499816355614</v>
      </c>
      <c r="D54">
        <v>13967.735892120407</v>
      </c>
    </row>
    <row r="55" spans="1:4" x14ac:dyDescent="0.2">
      <c r="A55" s="4">
        <v>41791</v>
      </c>
      <c r="B55">
        <v>19373.339166031281</v>
      </c>
      <c r="C55">
        <v>16588.488865338946</v>
      </c>
      <c r="D55">
        <v>14068.393045081964</v>
      </c>
    </row>
    <row r="56" spans="1:4" x14ac:dyDescent="0.2">
      <c r="A56" s="4">
        <v>41821</v>
      </c>
      <c r="B56">
        <v>19090.256124390231</v>
      </c>
      <c r="C56">
        <v>16411.881918135867</v>
      </c>
      <c r="D56">
        <v>13974.406042938024</v>
      </c>
    </row>
    <row r="57" spans="1:4" x14ac:dyDescent="0.2">
      <c r="A57" s="4">
        <v>41852</v>
      </c>
      <c r="B57">
        <v>19825.28970964114</v>
      </c>
      <c r="C57">
        <v>16895.521076791923</v>
      </c>
      <c r="D57">
        <v>14259.967556323405</v>
      </c>
    </row>
    <row r="58" spans="1:4" x14ac:dyDescent="0.2">
      <c r="A58" s="4">
        <v>41883</v>
      </c>
      <c r="B58">
        <v>19361.362853351315</v>
      </c>
      <c r="C58">
        <v>16599.727951944678</v>
      </c>
      <c r="D58">
        <v>14094.357673081331</v>
      </c>
    </row>
    <row r="59" spans="1:4" x14ac:dyDescent="0.2">
      <c r="A59" s="4">
        <v>41913</v>
      </c>
      <c r="B59">
        <v>19935.531441652038</v>
      </c>
      <c r="C59">
        <v>16968.167575191696</v>
      </c>
      <c r="D59">
        <v>14302.047374425116</v>
      </c>
    </row>
    <row r="60" spans="1:4" x14ac:dyDescent="0.2">
      <c r="A60" s="4">
        <v>41944</v>
      </c>
      <c r="B60">
        <v>20396.007754671449</v>
      </c>
      <c r="C60">
        <v>17276.013610210233</v>
      </c>
      <c r="D60">
        <v>14490.646371634852</v>
      </c>
    </row>
    <row r="61" spans="1:4" x14ac:dyDescent="0.2">
      <c r="A61" s="4">
        <v>41974</v>
      </c>
      <c r="B61">
        <v>20285.860467683993</v>
      </c>
      <c r="C61">
        <v>17190.787957357505</v>
      </c>
      <c r="D61">
        <v>14425.932266076927</v>
      </c>
    </row>
    <row r="62" spans="1:4" x14ac:dyDescent="0.2">
      <c r="A62" s="4">
        <v>42005</v>
      </c>
      <c r="B62">
        <v>19942.690205349503</v>
      </c>
      <c r="C62">
        <v>17174.246757273104</v>
      </c>
      <c r="D62">
        <v>14642.210112154904</v>
      </c>
    </row>
    <row r="63" spans="1:4" x14ac:dyDescent="0.2">
      <c r="A63" s="4">
        <v>42036</v>
      </c>
      <c r="B63">
        <v>20942.406867433991</v>
      </c>
      <c r="C63">
        <v>17661.81734653021</v>
      </c>
      <c r="D63">
        <v>14739.577741954241</v>
      </c>
    </row>
    <row r="64" spans="1:4" x14ac:dyDescent="0.2">
      <c r="A64" s="4">
        <v>42064</v>
      </c>
      <c r="B64">
        <v>20648.558856753472</v>
      </c>
      <c r="C64">
        <v>17529.582324603929</v>
      </c>
      <c r="D64">
        <v>14725.680248045785</v>
      </c>
    </row>
    <row r="65" spans="1:4" x14ac:dyDescent="0.2">
      <c r="A65" s="4">
        <v>42095</v>
      </c>
      <c r="B65">
        <v>20843.204068555602</v>
      </c>
      <c r="C65">
        <v>17618.684947699971</v>
      </c>
      <c r="D65">
        <v>14736.56835798358</v>
      </c>
    </row>
    <row r="66" spans="1:4" x14ac:dyDescent="0.2">
      <c r="A66" s="4">
        <v>42125</v>
      </c>
      <c r="B66">
        <v>21077.014102292575</v>
      </c>
      <c r="C66">
        <v>17723.406798090244</v>
      </c>
      <c r="D66">
        <v>14746.442198978835</v>
      </c>
    </row>
    <row r="67" spans="1:4" x14ac:dyDescent="0.2">
      <c r="A67" s="4">
        <v>42156</v>
      </c>
      <c r="B67">
        <v>20654.598039877474</v>
      </c>
      <c r="C67">
        <v>17420.245880515275</v>
      </c>
      <c r="D67">
        <v>14537.504589461656</v>
      </c>
    </row>
    <row r="68" spans="1:4" x14ac:dyDescent="0.2">
      <c r="A68" s="4">
        <v>42186</v>
      </c>
      <c r="B68">
        <v>21072.026127080419</v>
      </c>
      <c r="C68">
        <v>17706.366816686921</v>
      </c>
      <c r="D68">
        <v>14721.248570374673</v>
      </c>
    </row>
    <row r="69" spans="1:4" x14ac:dyDescent="0.2">
      <c r="A69" s="4">
        <v>42217</v>
      </c>
      <c r="B69">
        <v>19909.950248985449</v>
      </c>
      <c r="C69">
        <v>17039.751351886993</v>
      </c>
      <c r="D69">
        <v>14424.631652466936</v>
      </c>
    </row>
    <row r="70" spans="1:4" x14ac:dyDescent="0.2">
      <c r="A70" s="4">
        <v>42248</v>
      </c>
      <c r="B70">
        <v>19314.016216716573</v>
      </c>
      <c r="C70">
        <v>16745.943696555929</v>
      </c>
      <c r="D70">
        <v>14358.94906166172</v>
      </c>
    </row>
    <row r="71" spans="1:4" x14ac:dyDescent="0.2">
      <c r="A71" s="4">
        <v>42278</v>
      </c>
      <c r="B71">
        <v>20785.585849111649</v>
      </c>
      <c r="C71">
        <v>17598.384672684926</v>
      </c>
      <c r="D71">
        <v>14726.780154075735</v>
      </c>
    </row>
    <row r="72" spans="1:4" x14ac:dyDescent="0.2">
      <c r="A72" s="4">
        <v>42309</v>
      </c>
      <c r="B72">
        <v>20889.802453878026</v>
      </c>
      <c r="C72">
        <v>17634.030252531888</v>
      </c>
      <c r="D72">
        <v>14712.599996943536</v>
      </c>
    </row>
    <row r="73" spans="1:4" x14ac:dyDescent="0.2">
      <c r="A73" s="4">
        <v>42339</v>
      </c>
      <c r="B73">
        <v>20376.782418865077</v>
      </c>
      <c r="C73">
        <v>17318.11724362359</v>
      </c>
      <c r="D73">
        <v>14546.766464792114</v>
      </c>
    </row>
    <row r="74" spans="1:4" x14ac:dyDescent="0.2">
      <c r="A74" s="4">
        <v>42370</v>
      </c>
      <c r="B74">
        <v>19460.673287035628</v>
      </c>
      <c r="C74">
        <v>16896.83059079164</v>
      </c>
      <c r="D74">
        <v>14493.027365628483</v>
      </c>
    </row>
    <row r="75" spans="1:4" x14ac:dyDescent="0.2">
      <c r="A75" s="4">
        <v>42401</v>
      </c>
      <c r="B75">
        <v>19470.966775401335</v>
      </c>
      <c r="C75">
        <v>16938.657357522592</v>
      </c>
      <c r="D75">
        <v>14557.11413786397</v>
      </c>
    </row>
    <row r="76" spans="1:4" x14ac:dyDescent="0.2">
      <c r="A76" s="4">
        <v>42430</v>
      </c>
      <c r="B76">
        <v>20646.41112712567</v>
      </c>
      <c r="C76">
        <v>17671.675744252156</v>
      </c>
      <c r="D76">
        <v>14938.229322440298</v>
      </c>
    </row>
    <row r="77" spans="1:4" x14ac:dyDescent="0.2">
      <c r="A77" s="4">
        <v>42461</v>
      </c>
      <c r="B77">
        <v>20865.464098045046</v>
      </c>
      <c r="C77">
        <v>17819.402785000508</v>
      </c>
      <c r="D77">
        <v>15029.492037689281</v>
      </c>
    </row>
    <row r="78" spans="1:4" x14ac:dyDescent="0.2">
      <c r="A78" s="4">
        <v>42491</v>
      </c>
      <c r="B78">
        <v>21191.25492982502</v>
      </c>
      <c r="C78">
        <v>18004.889451000956</v>
      </c>
      <c r="D78">
        <v>15107.714927743091</v>
      </c>
    </row>
    <row r="79" spans="1:4" x14ac:dyDescent="0.2">
      <c r="A79" s="4">
        <v>42522</v>
      </c>
      <c r="B79">
        <v>21200.666938630333</v>
      </c>
      <c r="C79">
        <v>18131.349170502064</v>
      </c>
      <c r="D79">
        <v>15313.226961275082</v>
      </c>
    </row>
    <row r="80" spans="1:4" x14ac:dyDescent="0.2">
      <c r="A80" s="4">
        <v>42552</v>
      </c>
      <c r="B80">
        <v>22059.864822077117</v>
      </c>
      <c r="C80">
        <v>18658.229644411356</v>
      </c>
      <c r="D80">
        <v>15582.605752984586</v>
      </c>
    </row>
    <row r="81" spans="1:4" x14ac:dyDescent="0.2">
      <c r="A81" s="4">
        <v>42583</v>
      </c>
      <c r="B81">
        <v>22094.615200071734</v>
      </c>
      <c r="C81">
        <v>18658.412828352597</v>
      </c>
      <c r="D81">
        <v>15558.364822220152</v>
      </c>
    </row>
    <row r="82" spans="1:4" x14ac:dyDescent="0.2">
      <c r="A82" s="4">
        <v>42614</v>
      </c>
      <c r="B82">
        <v>22040.857710079483</v>
      </c>
      <c r="C82">
        <v>18634.963480890783</v>
      </c>
      <c r="D82">
        <v>15557.112637448645</v>
      </c>
    </row>
    <row r="83" spans="1:4" x14ac:dyDescent="0.2">
      <c r="A83" s="4">
        <v>42644</v>
      </c>
      <c r="B83">
        <v>21678.810926118018</v>
      </c>
      <c r="C83">
        <v>18372.616355241851</v>
      </c>
      <c r="D83">
        <v>15374.62342422648</v>
      </c>
    </row>
    <row r="84" spans="1:4" x14ac:dyDescent="0.2">
      <c r="A84" s="4">
        <v>42675</v>
      </c>
      <c r="B84">
        <v>22500.043946246424</v>
      </c>
      <c r="C84">
        <v>18679.032327921374</v>
      </c>
      <c r="D84">
        <v>15305.036276941184</v>
      </c>
    </row>
    <row r="85" spans="1:4" x14ac:dyDescent="0.2">
      <c r="A85" s="4">
        <v>42705</v>
      </c>
      <c r="B85">
        <v>22774.620081486755</v>
      </c>
      <c r="C85">
        <v>18835.032184411626</v>
      </c>
      <c r="D85">
        <v>15373.906574198389</v>
      </c>
    </row>
    <row r="86" spans="1:4" x14ac:dyDescent="0.2">
      <c r="A86" s="4">
        <v>42736</v>
      </c>
      <c r="B86">
        <v>23299.784642194099</v>
      </c>
      <c r="C86">
        <v>19165.242240099193</v>
      </c>
      <c r="D86">
        <v>15558.457868169386</v>
      </c>
    </row>
    <row r="87" spans="1:4" x14ac:dyDescent="0.2">
      <c r="A87" s="4">
        <v>42767</v>
      </c>
      <c r="B87">
        <v>24084.745453326832</v>
      </c>
      <c r="C87">
        <v>19621.382110569055</v>
      </c>
      <c r="D87">
        <v>15774.893518460782</v>
      </c>
    </row>
    <row r="88" spans="1:4" x14ac:dyDescent="0.2">
      <c r="A88" s="4">
        <v>42795</v>
      </c>
      <c r="B88">
        <v>24000.056078660091</v>
      </c>
      <c r="C88">
        <v>19574.337583758974</v>
      </c>
      <c r="D88">
        <v>15754.71864371952</v>
      </c>
    </row>
    <row r="89" spans="1:4" x14ac:dyDescent="0.2">
      <c r="A89" s="4">
        <v>42826</v>
      </c>
      <c r="B89">
        <v>24345.572990690089</v>
      </c>
      <c r="C89">
        <v>19812.396217222893</v>
      </c>
      <c r="D89">
        <v>15911.116364554966</v>
      </c>
    </row>
    <row r="90" spans="1:4" x14ac:dyDescent="0.2">
      <c r="A90" s="4">
        <v>42856</v>
      </c>
      <c r="B90">
        <v>24584.983648362086</v>
      </c>
      <c r="C90">
        <v>19989.546671147182</v>
      </c>
      <c r="D90">
        <v>16039.184011115203</v>
      </c>
    </row>
    <row r="91" spans="1:4" x14ac:dyDescent="0.2">
      <c r="A91" s="4">
        <v>42887</v>
      </c>
      <c r="B91">
        <v>24692.999787772278</v>
      </c>
      <c r="C91">
        <v>20051.253555244926</v>
      </c>
      <c r="D91">
        <v>16067.739106092065</v>
      </c>
    </row>
    <row r="92" spans="1:4" x14ac:dyDescent="0.2">
      <c r="A92" s="4">
        <v>42917</v>
      </c>
      <c r="B92">
        <v>25224.835027523019</v>
      </c>
      <c r="C92">
        <v>20366.588428658935</v>
      </c>
      <c r="D92">
        <v>16227.050556328521</v>
      </c>
    </row>
    <row r="93" spans="1:4" x14ac:dyDescent="0.2">
      <c r="A93" s="4">
        <v>42948</v>
      </c>
      <c r="B93">
        <v>25286.647498647013</v>
      </c>
      <c r="C93">
        <v>20472.42262119638</v>
      </c>
      <c r="D93">
        <v>16355.933290705672</v>
      </c>
    </row>
    <row r="94" spans="1:4" x14ac:dyDescent="0.2">
      <c r="A94" s="4">
        <v>42979</v>
      </c>
      <c r="B94">
        <v>25735.491073663761</v>
      </c>
      <c r="C94">
        <v>20696.640582935048</v>
      </c>
      <c r="D94">
        <v>16423.878601225773</v>
      </c>
    </row>
    <row r="95" spans="1:4" x14ac:dyDescent="0.2">
      <c r="A95" s="4">
        <v>43009</v>
      </c>
      <c r="B95">
        <v>26338.663797361129</v>
      </c>
      <c r="C95">
        <v>21017.872535174924</v>
      </c>
      <c r="D95">
        <v>16548.774841624316</v>
      </c>
    </row>
    <row r="96" spans="1:4" x14ac:dyDescent="0.2">
      <c r="A96" s="4">
        <v>43040</v>
      </c>
      <c r="B96">
        <v>27054.610199993142</v>
      </c>
      <c r="C96">
        <v>21391.099495641356</v>
      </c>
      <c r="D96">
        <v>16686.67351557182</v>
      </c>
    </row>
    <row r="97" spans="1:4" x14ac:dyDescent="0.2">
      <c r="A97" s="4">
        <v>43070</v>
      </c>
      <c r="B97">
        <v>27225.507583710245</v>
      </c>
      <c r="C97">
        <v>21502.336126539896</v>
      </c>
      <c r="D97">
        <v>16754.81381296413</v>
      </c>
    </row>
    <row r="98" spans="1:4" x14ac:dyDescent="0.2">
      <c r="A98" s="4">
        <v>43101</v>
      </c>
      <c r="B98">
        <v>28612.623299660903</v>
      </c>
      <c r="C98">
        <v>22176.891075611198</v>
      </c>
      <c r="D98">
        <v>16952.409328155689</v>
      </c>
    </row>
    <row r="99" spans="1:4" x14ac:dyDescent="0.2">
      <c r="A99" s="4">
        <v>43132</v>
      </c>
      <c r="B99">
        <v>27607.89497457413</v>
      </c>
      <c r="C99">
        <v>21564.936899932971</v>
      </c>
      <c r="D99">
        <v>16612.113569673307</v>
      </c>
    </row>
    <row r="100" spans="1:4" x14ac:dyDescent="0.2">
      <c r="A100" s="4">
        <v>43160</v>
      </c>
      <c r="B100">
        <v>27041.152792508434</v>
      </c>
      <c r="C100">
        <v>21320.069671686233</v>
      </c>
      <c r="D100">
        <v>16575.874391155121</v>
      </c>
    </row>
    <row r="101" spans="1:4" x14ac:dyDescent="0.2">
      <c r="A101" s="4">
        <v>43191</v>
      </c>
      <c r="B101">
        <v>27224.317117411232</v>
      </c>
      <c r="C101">
        <v>21352.421364598238</v>
      </c>
      <c r="D101">
        <v>16513.902472527254</v>
      </c>
    </row>
    <row r="102" spans="1:4" x14ac:dyDescent="0.2">
      <c r="A102" s="4">
        <v>43221</v>
      </c>
      <c r="B102">
        <v>27911.47703404614</v>
      </c>
      <c r="C102">
        <v>21761.588583729994</v>
      </c>
      <c r="D102">
        <v>16729.978109968168</v>
      </c>
    </row>
    <row r="103" spans="1:4" x14ac:dyDescent="0.2">
      <c r="A103" s="4">
        <v>43252</v>
      </c>
      <c r="B103">
        <v>27979.059067261853</v>
      </c>
      <c r="C103">
        <v>21793.275015027495</v>
      </c>
      <c r="D103">
        <v>16738.189921911762</v>
      </c>
    </row>
    <row r="104" spans="1:4" x14ac:dyDescent="0.2">
      <c r="A104" s="4">
        <v>43282</v>
      </c>
      <c r="B104">
        <v>28930.955311434187</v>
      </c>
      <c r="C104">
        <v>22302.512039984042</v>
      </c>
      <c r="D104">
        <v>16950.960280786432</v>
      </c>
    </row>
    <row r="105" spans="1:4" x14ac:dyDescent="0.2">
      <c r="A105" s="4">
        <v>43313</v>
      </c>
      <c r="B105">
        <v>29844.584794011524</v>
      </c>
      <c r="C105">
        <v>22821.344177418443</v>
      </c>
      <c r="D105">
        <v>17204.328619331045</v>
      </c>
    </row>
    <row r="106" spans="1:4" x14ac:dyDescent="0.2">
      <c r="A106" s="4">
        <v>43344</v>
      </c>
      <c r="B106">
        <v>29751.683262115919</v>
      </c>
      <c r="C106">
        <v>22732.226655847804</v>
      </c>
      <c r="D106">
        <v>17123.516940983947</v>
      </c>
    </row>
    <row r="107" spans="1:4" x14ac:dyDescent="0.2">
      <c r="A107" s="4">
        <v>43374</v>
      </c>
      <c r="B107">
        <v>27859.714867225124</v>
      </c>
      <c r="C107">
        <v>21702.777560740884</v>
      </c>
      <c r="D107">
        <v>16661.527879807654</v>
      </c>
    </row>
    <row r="108" spans="1:4" x14ac:dyDescent="0.2">
      <c r="A108" s="4">
        <v>43405</v>
      </c>
      <c r="B108">
        <v>28383.580974440469</v>
      </c>
      <c r="C108">
        <v>22019.72269035556</v>
      </c>
      <c r="D108">
        <v>16834.875753055563</v>
      </c>
    </row>
    <row r="109" spans="1:4" x14ac:dyDescent="0.2">
      <c r="A109" s="4">
        <v>43435</v>
      </c>
      <c r="B109">
        <v>25948.937181847086</v>
      </c>
      <c r="C109">
        <v>20880.067104597296</v>
      </c>
      <c r="D109">
        <v>16536.29624342762</v>
      </c>
    </row>
    <row r="110" spans="1:4" x14ac:dyDescent="0.2">
      <c r="A110" s="4">
        <v>43466</v>
      </c>
      <c r="B110">
        <v>28134.132447527212</v>
      </c>
      <c r="C110">
        <v>22164.900694496722</v>
      </c>
      <c r="D110">
        <v>17178.840441873308</v>
      </c>
    </row>
    <row r="111" spans="1:4" x14ac:dyDescent="0.2">
      <c r="A111" s="4">
        <v>43497</v>
      </c>
      <c r="B111">
        <v>29026.061356308837</v>
      </c>
      <c r="C111">
        <v>22608.475275378372</v>
      </c>
      <c r="D111">
        <v>17321.806560646095</v>
      </c>
    </row>
    <row r="112" spans="1:4" x14ac:dyDescent="0.2">
      <c r="A112" s="4">
        <v>43525</v>
      </c>
      <c r="B112">
        <v>29311.75090607554</v>
      </c>
      <c r="C112">
        <v>22903.843593663438</v>
      </c>
      <c r="D112">
        <v>17603.917676541416</v>
      </c>
    </row>
    <row r="113" spans="1:4" x14ac:dyDescent="0.2">
      <c r="A113" s="4">
        <v>43556</v>
      </c>
      <c r="B113">
        <v>30493.493342940437</v>
      </c>
      <c r="C113">
        <v>23515.992049915141</v>
      </c>
      <c r="D113">
        <v>17835.188056006529</v>
      </c>
    </row>
    <row r="114" spans="1:4" x14ac:dyDescent="0.2">
      <c r="A114" s="4">
        <v>43586</v>
      </c>
      <c r="B114">
        <v>28779.633048191863</v>
      </c>
      <c r="C114">
        <v>22779.015356914257</v>
      </c>
      <c r="D114">
        <v>17719.711705856578</v>
      </c>
    </row>
    <row r="115" spans="1:4" x14ac:dyDescent="0.2">
      <c r="A115" s="4">
        <v>43617</v>
      </c>
      <c r="B115">
        <v>30546.424837187114</v>
      </c>
      <c r="C115">
        <v>23806.820567206003</v>
      </c>
      <c r="D115">
        <v>18230.944110863602</v>
      </c>
    </row>
    <row r="116" spans="1:4" x14ac:dyDescent="0.2">
      <c r="A116" s="4">
        <v>43647</v>
      </c>
      <c r="B116">
        <v>31041.669862575709</v>
      </c>
      <c r="C116">
        <v>24075.738461905024</v>
      </c>
      <c r="D116">
        <v>18347.235736075505</v>
      </c>
    </row>
    <row r="117" spans="1:4" x14ac:dyDescent="0.2">
      <c r="A117" s="4">
        <v>43678</v>
      </c>
      <c r="B117">
        <v>30546.654977596849</v>
      </c>
      <c r="C117">
        <v>24042.35026343862</v>
      </c>
      <c r="D117">
        <v>18588.927350313428</v>
      </c>
    </row>
    <row r="118" spans="1:4" x14ac:dyDescent="0.2">
      <c r="A118" s="4">
        <v>43709</v>
      </c>
      <c r="B118">
        <v>30891.927081467977</v>
      </c>
      <c r="C118">
        <v>24179.129018730309</v>
      </c>
      <c r="D118">
        <v>18590.322355933065</v>
      </c>
    </row>
    <row r="119" spans="1:4" x14ac:dyDescent="0.2">
      <c r="A119" s="4">
        <v>43739</v>
      </c>
      <c r="B119">
        <v>31616.554852038298</v>
      </c>
      <c r="C119">
        <v>24582.56334697258</v>
      </c>
      <c r="D119">
        <v>18774.619277241349</v>
      </c>
    </row>
    <row r="120" spans="1:4" x14ac:dyDescent="0.2">
      <c r="A120" s="4">
        <v>43770</v>
      </c>
      <c r="B120">
        <v>32693.333285397912</v>
      </c>
      <c r="C120">
        <v>25137.209416811111</v>
      </c>
      <c r="D120">
        <v>18982.41182247804</v>
      </c>
    </row>
    <row r="121" spans="1:4" x14ac:dyDescent="0.2">
      <c r="A121" s="4">
        <v>43800</v>
      </c>
      <c r="B121">
        <v>33345.811671143478</v>
      </c>
      <c r="C121">
        <v>25446.598573041774</v>
      </c>
      <c r="D121">
        <v>19070.841276966086</v>
      </c>
    </row>
    <row r="122" spans="1:4" x14ac:dyDescent="0.2">
      <c r="A122" s="4">
        <v>43831</v>
      </c>
      <c r="B122">
        <v>33569.791294137154</v>
      </c>
      <c r="C122">
        <v>25766.542581951915</v>
      </c>
      <c r="D122">
        <v>19422.306092680239</v>
      </c>
    </row>
    <row r="123" spans="1:4" x14ac:dyDescent="0.2">
      <c r="A123" s="4">
        <v>43862</v>
      </c>
      <c r="B123">
        <v>31202.992550550738</v>
      </c>
      <c r="C123">
        <v>24680.029564028664</v>
      </c>
      <c r="D123">
        <v>19153.669290773276</v>
      </c>
    </row>
    <row r="124" spans="1:4" x14ac:dyDescent="0.2">
      <c r="A124" s="4">
        <v>43891</v>
      </c>
      <c r="B124">
        <v>27138.549793740996</v>
      </c>
      <c r="C124">
        <v>22420.357014774127</v>
      </c>
      <c r="D124">
        <v>18141.218134202391</v>
      </c>
    </row>
    <row r="125" spans="1:4" x14ac:dyDescent="0.2">
      <c r="A125" s="4">
        <v>43922</v>
      </c>
      <c r="B125">
        <v>30558.886147792917</v>
      </c>
      <c r="C125">
        <v>24508.417889912202</v>
      </c>
      <c r="D125">
        <v>19233.906114727866</v>
      </c>
    </row>
    <row r="126" spans="1:4" x14ac:dyDescent="0.2">
      <c r="A126" s="4">
        <v>43952</v>
      </c>
      <c r="B126">
        <v>32063.809614765625</v>
      </c>
      <c r="C126">
        <v>25369.611909249517</v>
      </c>
      <c r="D126">
        <v>19638.40926609893</v>
      </c>
    </row>
    <row r="127" spans="1:4" x14ac:dyDescent="0.2">
      <c r="A127" s="4">
        <v>43983</v>
      </c>
      <c r="B127">
        <v>32613.848959958894</v>
      </c>
      <c r="C127">
        <v>25716.747745662033</v>
      </c>
      <c r="D127">
        <v>19838.951759979525</v>
      </c>
    </row>
    <row r="128" spans="1:4" x14ac:dyDescent="0.2">
      <c r="A128" s="4">
        <v>44013</v>
      </c>
      <c r="B128">
        <v>34489.92063693102</v>
      </c>
      <c r="C128">
        <v>26829.229055826796</v>
      </c>
      <c r="D128">
        <v>20414.167612259906</v>
      </c>
    </row>
    <row r="129" spans="1:4" x14ac:dyDescent="0.2">
      <c r="A129" s="4">
        <v>44044</v>
      </c>
      <c r="B129">
        <v>36662.932350271687</v>
      </c>
      <c r="C129">
        <v>27872.34305046621</v>
      </c>
      <c r="D129">
        <v>20715.384101755622</v>
      </c>
    </row>
    <row r="130" spans="1:4" x14ac:dyDescent="0.2">
      <c r="A130" s="4">
        <v>44075</v>
      </c>
      <c r="B130">
        <v>35362.764073762832</v>
      </c>
      <c r="C130">
        <v>27204.726516316714</v>
      </c>
      <c r="D130">
        <v>20457.631743340851</v>
      </c>
    </row>
    <row r="131" spans="1:4" x14ac:dyDescent="0.2">
      <c r="A131" s="4">
        <v>44105</v>
      </c>
      <c r="B131">
        <v>34849.683723912502</v>
      </c>
      <c r="C131">
        <v>26890.801080035661</v>
      </c>
      <c r="D131">
        <v>20282.316271700671</v>
      </c>
    </row>
    <row r="132" spans="1:4" x14ac:dyDescent="0.2">
      <c r="A132" s="4">
        <v>44136</v>
      </c>
      <c r="B132">
        <v>38595.504996327458</v>
      </c>
      <c r="C132">
        <v>28927.078629267453</v>
      </c>
      <c r="D132">
        <v>21173.983765741472</v>
      </c>
    </row>
    <row r="133" spans="1:4" x14ac:dyDescent="0.2">
      <c r="A133" s="4">
        <v>44166</v>
      </c>
      <c r="B133">
        <v>40066.173926442338</v>
      </c>
      <c r="C133">
        <v>29645.311522863918</v>
      </c>
      <c r="D133">
        <v>21418.617414578068</v>
      </c>
    </row>
    <row r="134" spans="1:4" x14ac:dyDescent="0.2">
      <c r="A134" s="4">
        <v>44197</v>
      </c>
      <c r="B134">
        <v>40075.239224566227</v>
      </c>
      <c r="C134">
        <v>29613.067477129262</v>
      </c>
      <c r="D134">
        <v>21367.178893270226</v>
      </c>
    </row>
    <row r="135" spans="1:4" x14ac:dyDescent="0.2">
      <c r="A135" s="4">
        <v>44228</v>
      </c>
      <c r="B135">
        <v>41140.143173973302</v>
      </c>
      <c r="C135">
        <v>29969.37931518101</v>
      </c>
      <c r="D135">
        <v>21313.587536566483</v>
      </c>
    </row>
    <row r="136" spans="1:4" x14ac:dyDescent="0.2">
      <c r="A136" s="4">
        <v>44256</v>
      </c>
      <c r="B136">
        <v>42311.51643182832</v>
      </c>
      <c r="C136">
        <v>30412.365561369454</v>
      </c>
      <c r="D136">
        <v>21336.815822810127</v>
      </c>
    </row>
    <row r="137" spans="1:4" x14ac:dyDescent="0.2">
      <c r="A137" s="4">
        <v>44287</v>
      </c>
      <c r="B137">
        <v>44396.706301083505</v>
      </c>
      <c r="C137">
        <v>31490.847368759867</v>
      </c>
      <c r="D137">
        <v>21798.588254547947</v>
      </c>
    </row>
    <row r="138" spans="1:4" x14ac:dyDescent="0.2">
      <c r="A138" s="4">
        <v>44317</v>
      </c>
      <c r="B138">
        <v>44588.069389422584</v>
      </c>
      <c r="C138">
        <v>31605.635845238692</v>
      </c>
      <c r="D138">
        <v>21863.547530521053</v>
      </c>
    </row>
    <row r="139" spans="1:4" x14ac:dyDescent="0.2">
      <c r="A139" s="4">
        <v>44348</v>
      </c>
      <c r="B139">
        <v>45497.856278590501</v>
      </c>
      <c r="C139">
        <v>32130.022941654348</v>
      </c>
      <c r="D139">
        <v>22142.938987768452</v>
      </c>
    </row>
    <row r="140" spans="1:4" x14ac:dyDescent="0.2">
      <c r="A140" s="4">
        <v>44378</v>
      </c>
      <c r="B140">
        <v>46390.397342396318</v>
      </c>
      <c r="C140">
        <v>32675.681114886396</v>
      </c>
      <c r="D140">
        <v>22460.65506000015</v>
      </c>
    </row>
    <row r="141" spans="1:4" x14ac:dyDescent="0.2">
      <c r="A141" s="4">
        <v>44409</v>
      </c>
      <c r="B141">
        <v>47575.098518874853</v>
      </c>
      <c r="C141">
        <v>33210.244393087843</v>
      </c>
      <c r="D141">
        <v>22621.960677626226</v>
      </c>
    </row>
    <row r="142" spans="1:4" x14ac:dyDescent="0.2">
      <c r="A142" s="4">
        <v>44440</v>
      </c>
      <c r="B142">
        <v>45486.737822184186</v>
      </c>
      <c r="C142">
        <v>32126.18607517314</v>
      </c>
      <c r="D142">
        <v>22138.111196340193</v>
      </c>
    </row>
    <row r="143" spans="1:4" x14ac:dyDescent="0.2">
      <c r="A143" s="4">
        <v>44470</v>
      </c>
      <c r="B143">
        <v>48366.12333314828</v>
      </c>
      <c r="C143">
        <v>33490.602294227618</v>
      </c>
      <c r="D143">
        <v>22617.166979548016</v>
      </c>
    </row>
    <row r="144" spans="1:4" x14ac:dyDescent="0.2">
      <c r="A144" s="4">
        <v>44501</v>
      </c>
      <c r="B144">
        <v>47739.252820186077</v>
      </c>
      <c r="C144">
        <v>33223.762912359925</v>
      </c>
      <c r="D144">
        <v>22549.898147300824</v>
      </c>
    </row>
    <row r="145" spans="1:4" x14ac:dyDescent="0.2">
      <c r="A145" s="4">
        <v>44531</v>
      </c>
      <c r="B145">
        <v>49180.151334727801</v>
      </c>
      <c r="C145">
        <v>33822.361506597088</v>
      </c>
      <c r="D145">
        <v>22681.853076848653</v>
      </c>
    </row>
    <row r="146" spans="1:4" x14ac:dyDescent="0.2">
      <c r="A146" s="4">
        <v>44562</v>
      </c>
      <c r="B146">
        <v>46568.646541686241</v>
      </c>
      <c r="C146">
        <v>32445.182711732275</v>
      </c>
      <c r="D146">
        <v>22039.158125079706</v>
      </c>
    </row>
    <row r="147" spans="1:4" x14ac:dyDescent="0.2">
      <c r="A147" s="4">
        <v>44593</v>
      </c>
      <c r="B147">
        <v>45464.770995940678</v>
      </c>
      <c r="C147">
        <v>31791.30657777634</v>
      </c>
      <c r="D147">
        <v>21673.258499132298</v>
      </c>
    </row>
    <row r="148" spans="1:4" x14ac:dyDescent="0.2">
      <c r="A148" s="4">
        <v>44621</v>
      </c>
      <c r="B148">
        <v>46543.173103094807</v>
      </c>
      <c r="C148">
        <v>32003.428472936503</v>
      </c>
      <c r="D148">
        <v>21448.401421377199</v>
      </c>
    </row>
    <row r="149" spans="1:4" x14ac:dyDescent="0.2">
      <c r="A149" s="4">
        <v>44652</v>
      </c>
      <c r="B149">
        <v>42647.769814305662</v>
      </c>
      <c r="C149">
        <v>29784.142933826897</v>
      </c>
      <c r="D149">
        <v>20268.823429903841</v>
      </c>
    </row>
    <row r="150" spans="1:4" x14ac:dyDescent="0.2">
      <c r="A150" s="4">
        <v>44682</v>
      </c>
      <c r="B150">
        <v>42589.962786440818</v>
      </c>
      <c r="C150">
        <v>29846.097036727573</v>
      </c>
      <c r="D150">
        <v>20380.619363194117</v>
      </c>
    </row>
    <row r="151" spans="1:4" x14ac:dyDescent="0.2">
      <c r="A151" s="4">
        <v>44713</v>
      </c>
      <c r="B151">
        <v>39224.21274406914</v>
      </c>
      <c r="C151">
        <v>28107.440161270595</v>
      </c>
      <c r="D151">
        <v>19616.726850637813</v>
      </c>
    </row>
    <row r="152" spans="1:4" x14ac:dyDescent="0.2">
      <c r="A152" s="4">
        <v>44743</v>
      </c>
      <c r="B152">
        <v>42771.315738902347</v>
      </c>
      <c r="C152">
        <v>30024.576766287628</v>
      </c>
      <c r="D152">
        <v>20518.771048949453</v>
      </c>
    </row>
    <row r="153" spans="1:4" x14ac:dyDescent="0.2">
      <c r="A153" s="4">
        <v>44774</v>
      </c>
      <c r="B153">
        <v>41215.334296825044</v>
      </c>
      <c r="C153">
        <v>29017.086897178157</v>
      </c>
      <c r="D153">
        <v>19888.189723829331</v>
      </c>
    </row>
    <row r="154" spans="1:4" x14ac:dyDescent="0.2">
      <c r="A154" s="4">
        <v>44805</v>
      </c>
      <c r="B154">
        <v>37476.624237583987</v>
      </c>
      <c r="C154">
        <v>26855.991918361993</v>
      </c>
      <c r="D154">
        <v>18729.868906234056</v>
      </c>
    </row>
    <row r="155" spans="1:4" x14ac:dyDescent="0.2">
      <c r="A155" s="4">
        <v>44835</v>
      </c>
      <c r="B155">
        <v>40324.161534437313</v>
      </c>
      <c r="C155">
        <v>28111.880676688157</v>
      </c>
      <c r="D155">
        <v>19058.502204626446</v>
      </c>
    </row>
    <row r="156" spans="1:4" x14ac:dyDescent="0.2">
      <c r="A156" s="4">
        <v>44866</v>
      </c>
      <c r="B156">
        <v>42347.813271580613</v>
      </c>
      <c r="C156">
        <v>29394.865981683728</v>
      </c>
      <c r="D156">
        <v>19841.663565200193</v>
      </c>
    </row>
    <row r="157" spans="1:4" x14ac:dyDescent="0.2">
      <c r="A157" s="4">
        <v>44896</v>
      </c>
      <c r="B157">
        <v>39900.551450986764</v>
      </c>
      <c r="C157">
        <v>28161.31275551362</v>
      </c>
      <c r="D157">
        <v>19322.997039828133</v>
      </c>
    </row>
    <row r="158" spans="1:4" x14ac:dyDescent="0.2">
      <c r="A158" s="4">
        <v>44927</v>
      </c>
      <c r="B158">
        <v>42722.827023107828</v>
      </c>
      <c r="C158">
        <v>29845.588507681721</v>
      </c>
      <c r="D158">
        <v>20267.57344445631</v>
      </c>
    </row>
    <row r="159" spans="1:4" x14ac:dyDescent="0.2">
      <c r="A159" s="4">
        <v>44958</v>
      </c>
      <c r="B159">
        <v>41675.413580026427</v>
      </c>
      <c r="C159">
        <v>29068.511815949973</v>
      </c>
      <c r="D159">
        <v>19709.06695072394</v>
      </c>
    </row>
    <row r="160" spans="1:4" x14ac:dyDescent="0.2">
      <c r="A160" s="4">
        <v>44986</v>
      </c>
      <c r="B160">
        <v>42647.37501100704</v>
      </c>
      <c r="C160">
        <v>29780.733947033197</v>
      </c>
      <c r="D160">
        <v>20215.211967562595</v>
      </c>
    </row>
    <row r="161" spans="1:4" x14ac:dyDescent="0.2">
      <c r="A161" s="4">
        <v>45017</v>
      </c>
      <c r="B161">
        <v>43242.03873658066</v>
      </c>
      <c r="C161">
        <v>30114.278554930712</v>
      </c>
      <c r="D161">
        <v>20386.157669113556</v>
      </c>
    </row>
    <row r="162" spans="1:4" x14ac:dyDescent="0.2">
      <c r="A162" s="4">
        <v>45047</v>
      </c>
      <c r="B162">
        <v>43358.701058882922</v>
      </c>
      <c r="C162">
        <v>30052.906324854437</v>
      </c>
      <c r="D162">
        <v>20248.064958610794</v>
      </c>
    </row>
    <row r="163" spans="1:4" x14ac:dyDescent="0.2">
      <c r="A163" s="4">
        <v>45078</v>
      </c>
      <c r="B163">
        <v>45815.362100517763</v>
      </c>
      <c r="C163">
        <v>31163.847485470149</v>
      </c>
      <c r="D163">
        <v>20597.816909332792</v>
      </c>
    </row>
    <row r="164" spans="1:4" x14ac:dyDescent="0.2">
      <c r="A164" s="4">
        <v>45108</v>
      </c>
      <c r="B164">
        <v>47484.572155456641</v>
      </c>
      <c r="C164">
        <v>31908.187210784068</v>
      </c>
      <c r="D164">
        <v>20831.314236566741</v>
      </c>
    </row>
    <row r="165" spans="1:4" x14ac:dyDescent="0.2">
      <c r="A165" s="4">
        <v>45139</v>
      </c>
      <c r="B165">
        <v>46626.586218065167</v>
      </c>
      <c r="C165">
        <v>31452.801461933268</v>
      </c>
      <c r="D165">
        <v>20613.110919769439</v>
      </c>
    </row>
    <row r="166" spans="1:4" x14ac:dyDescent="0.2">
      <c r="A166" s="4">
        <v>45170</v>
      </c>
      <c r="B166">
        <v>44350.072571614917</v>
      </c>
      <c r="C166">
        <v>30167.920499987886</v>
      </c>
      <c r="D166">
        <v>19935.397295470564</v>
      </c>
    </row>
    <row r="167" spans="1:4" x14ac:dyDescent="0.2">
      <c r="A167" s="4">
        <v>45200</v>
      </c>
      <c r="B167">
        <v>43369.454535566198</v>
      </c>
      <c r="C167">
        <v>29570.387437716512</v>
      </c>
      <c r="D167">
        <v>19586.469035811726</v>
      </c>
    </row>
    <row r="168" spans="1:4" x14ac:dyDescent="0.2">
      <c r="A168" s="4">
        <v>45231</v>
      </c>
      <c r="B168">
        <v>47240.585668556538</v>
      </c>
      <c r="C168">
        <v>31775.409205397762</v>
      </c>
      <c r="D168">
        <v>20759.263044785541</v>
      </c>
    </row>
    <row r="169" spans="1:4" x14ac:dyDescent="0.2">
      <c r="A169" s="4">
        <v>45261</v>
      </c>
      <c r="B169">
        <v>49454.919609184428</v>
      </c>
      <c r="C169">
        <v>33115.024301347679</v>
      </c>
      <c r="D169">
        <v>21536.576513956665</v>
      </c>
    </row>
    <row r="170" spans="1:4" x14ac:dyDescent="0.2">
      <c r="A170" s="4">
        <v>45292</v>
      </c>
      <c r="B170">
        <v>50165.385089226402</v>
      </c>
      <c r="C170">
        <v>33477.735380904698</v>
      </c>
      <c r="D170">
        <v>21698.966882572171</v>
      </c>
    </row>
    <row r="171" spans="1:4" x14ac:dyDescent="0.2">
      <c r="A171" s="4">
        <v>45323</v>
      </c>
      <c r="B171">
        <v>52474.378116888329</v>
      </c>
      <c r="C171">
        <v>34319.888530431737</v>
      </c>
      <c r="D171">
        <v>21791.917069040363</v>
      </c>
    </row>
    <row r="172" spans="1:4" x14ac:dyDescent="0.2">
      <c r="A172" s="4">
        <v>45352</v>
      </c>
      <c r="B172">
        <v>53887.345240605187</v>
      </c>
      <c r="C172">
        <v>35035.019027787181</v>
      </c>
      <c r="D172">
        <v>22113.295676394944</v>
      </c>
    </row>
    <row r="173" spans="1:4" x14ac:dyDescent="0.2">
      <c r="A173" s="4">
        <v>45383</v>
      </c>
      <c r="B173">
        <v>51813.623976976902</v>
      </c>
      <c r="C173">
        <v>33852.748507758311</v>
      </c>
      <c r="D173">
        <v>21471.827443581449</v>
      </c>
    </row>
    <row r="174" spans="1:4" x14ac:dyDescent="0.2">
      <c r="A174" s="4">
        <v>45413</v>
      </c>
      <c r="B174">
        <v>54118.46431307531</v>
      </c>
      <c r="C174">
        <v>35044.940045210424</v>
      </c>
      <c r="D174">
        <v>22029.035766094901</v>
      </c>
    </row>
    <row r="175" spans="1:4" x14ac:dyDescent="0.2">
      <c r="A175" s="4">
        <v>45444</v>
      </c>
      <c r="B175">
        <v>55489.004776871268</v>
      </c>
      <c r="C175">
        <v>35739.433478046129</v>
      </c>
      <c r="D175">
        <v>22344.263041279148</v>
      </c>
    </row>
    <row r="176" spans="1:4" x14ac:dyDescent="0.2">
      <c r="A176" s="4">
        <v>45474</v>
      </c>
      <c r="B176">
        <v>56743.466552460122</v>
      </c>
      <c r="C176">
        <v>36558.206513891993</v>
      </c>
      <c r="D176">
        <v>22862.909884548702</v>
      </c>
    </row>
    <row r="177" spans="1:4" x14ac:dyDescent="0.2">
      <c r="A177" s="4">
        <v>45505</v>
      </c>
      <c r="B177">
        <v>57916.018097701359</v>
      </c>
      <c r="C177">
        <v>37239.668876785174</v>
      </c>
      <c r="D177">
        <v>23242.819916144133</v>
      </c>
    </row>
    <row r="178" spans="1:4" x14ac:dyDescent="0.2">
      <c r="A178" s="4">
        <v>45536</v>
      </c>
      <c r="B178">
        <v>58887.210381074474</v>
      </c>
      <c r="C178">
        <v>37820.384780013308</v>
      </c>
      <c r="D178">
        <v>23577.959340621073</v>
      </c>
    </row>
    <row r="179" spans="1:4" x14ac:dyDescent="0.2">
      <c r="A179" s="4">
        <v>45566</v>
      </c>
      <c r="B179">
        <v>58506.794850847538</v>
      </c>
      <c r="C179">
        <v>37349.199302505294</v>
      </c>
      <c r="D179">
        <v>23142.782340681839</v>
      </c>
    </row>
    <row r="180" spans="1:4" x14ac:dyDescent="0.2">
      <c r="A180" s="4">
        <v>45597</v>
      </c>
      <c r="B180">
        <v>62095.016428969873</v>
      </c>
      <c r="C180">
        <v>39005.426388443986</v>
      </c>
      <c r="D180">
        <v>23775.94022706063</v>
      </c>
    </row>
    <row r="181" spans="1:4" x14ac:dyDescent="0.2">
      <c r="A181" s="4">
        <v>45627</v>
      </c>
      <c r="B181">
        <v>60100.196492043542</v>
      </c>
      <c r="C181">
        <v>37912.35264189075</v>
      </c>
      <c r="D181">
        <v>23207.17258352755</v>
      </c>
    </row>
    <row r="182" spans="1:4" x14ac:dyDescent="0.2">
      <c r="A182" s="4">
        <v>45658</v>
      </c>
      <c r="B182">
        <v>61993.070003716908</v>
      </c>
      <c r="C182">
        <v>38862.822303317662</v>
      </c>
      <c r="D182">
        <v>23639.871980231914</v>
      </c>
    </row>
    <row r="183" spans="1:4" x14ac:dyDescent="0.2">
      <c r="A183" s="4">
        <v>45689</v>
      </c>
      <c r="B183">
        <v>61052.760159267884</v>
      </c>
      <c r="C183">
        <v>38706.288101137747</v>
      </c>
      <c r="D183">
        <v>23808.004734900416</v>
      </c>
    </row>
    <row r="184" spans="1:4" x14ac:dyDescent="0.2">
      <c r="A184" s="4">
        <v>45717</v>
      </c>
      <c r="B184">
        <v>57657.079875416523</v>
      </c>
      <c r="C184">
        <v>37276.553446276892</v>
      </c>
      <c r="D184">
        <v>23373.334655604187</v>
      </c>
    </row>
    <row r="185" spans="1:4" x14ac:dyDescent="0.2">
      <c r="A185" s="4">
        <v>45748</v>
      </c>
      <c r="B185">
        <v>57477.566790483907</v>
      </c>
      <c r="C185">
        <v>37244.759640445918</v>
      </c>
      <c r="D185">
        <v>23406.23559915704</v>
      </c>
    </row>
    <row r="186" spans="1:4" x14ac:dyDescent="0.2">
      <c r="A186" s="4">
        <v>45778</v>
      </c>
      <c r="B186">
        <v>60673.662529374109</v>
      </c>
      <c r="C186">
        <v>38543.42537543318</v>
      </c>
      <c r="D186">
        <v>23736.985883746715</v>
      </c>
    </row>
    <row r="187" spans="1:4" x14ac:dyDescent="0.2">
      <c r="A187" s="4">
        <v>45809</v>
      </c>
      <c r="B187">
        <v>63411.475185521354</v>
      </c>
      <c r="C187">
        <v>39895.611549444191</v>
      </c>
      <c r="D187">
        <v>24331.377113007969</v>
      </c>
    </row>
    <row r="188" spans="1:4" x14ac:dyDescent="0.2">
      <c r="A188" s="4">
        <v>45839</v>
      </c>
      <c r="B188">
        <v>64878.57295145504</v>
      </c>
      <c r="C188">
        <v>40477.594118322595</v>
      </c>
      <c r="D188">
        <v>24478.317017761146</v>
      </c>
    </row>
    <row r="189" spans="1:4" x14ac:dyDescent="0.2">
      <c r="A189" s="4">
        <v>45870</v>
      </c>
      <c r="B189">
        <v>66326.048622263639</v>
      </c>
      <c r="C189">
        <v>41234.276691248</v>
      </c>
      <c r="D189">
        <v>24847.381247908372</v>
      </c>
    </row>
    <row r="190" spans="1:4" x14ac:dyDescent="0.2">
      <c r="A190" s="4">
        <v>45901</v>
      </c>
      <c r="B190">
        <v>68268.914346812817</v>
      </c>
      <c r="C190">
        <v>42191.456260120875</v>
      </c>
      <c r="D190">
        <v>25273.110136639611</v>
      </c>
    </row>
    <row r="191" spans="1:4" x14ac:dyDescent="0.2">
      <c r="A191" s="4">
        <v>45931</v>
      </c>
      <c r="B191">
        <v>69843.51457765454</v>
      </c>
      <c r="C191">
        <v>42926.704390435247</v>
      </c>
      <c r="D191">
        <v>25571.036270337576</v>
      </c>
    </row>
    <row r="192" spans="1:4" x14ac:dyDescent="0.2">
      <c r="A192" s="4">
        <v>45962</v>
      </c>
      <c r="B192">
        <v>70051.572403155107</v>
      </c>
      <c r="C192">
        <v>43095.529855844419</v>
      </c>
      <c r="D192">
        <v>25695.997852734938</v>
      </c>
    </row>
    <row r="193" spans="1:4" x14ac:dyDescent="0.2">
      <c r="A193" s="4">
        <v>45992</v>
      </c>
      <c r="B193">
        <v>69812.540156381234</v>
      </c>
      <c r="C193">
        <v>42908.258464202685</v>
      </c>
      <c r="D193">
        <v>25560.354930730995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B8D80-4808-8441-BD64-EE104467E1B8}">
  <dimension ref="A1:J198"/>
  <sheetViews>
    <sheetView workbookViewId="0">
      <selection activeCell="A121" sqref="A121"/>
    </sheetView>
  </sheetViews>
  <sheetFormatPr baseColWidth="10" defaultRowHeight="16" x14ac:dyDescent="0.2"/>
  <cols>
    <col min="1" max="1" width="12.33203125" bestFit="1" customWidth="1"/>
    <col min="2" max="2" width="13.33203125" customWidth="1"/>
    <col min="3" max="3" width="13.1640625" customWidth="1"/>
    <col min="4" max="5" width="15" customWidth="1"/>
    <col min="6" max="8" width="17.6640625" customWidth="1"/>
    <col min="9" max="9" width="17.83203125" customWidth="1"/>
    <col min="10" max="10" width="22.5" customWidth="1"/>
  </cols>
  <sheetData>
    <row r="1" spans="1:10" x14ac:dyDescent="0.2">
      <c r="A1" s="4" t="s">
        <v>0</v>
      </c>
      <c r="B1" s="2" t="s">
        <v>8</v>
      </c>
      <c r="C1" s="2" t="s">
        <v>14</v>
      </c>
      <c r="D1" s="2" t="s">
        <v>9</v>
      </c>
      <c r="E1" s="2" t="s">
        <v>15</v>
      </c>
      <c r="F1" s="2" t="s">
        <v>10</v>
      </c>
      <c r="G1" s="2" t="s">
        <v>16</v>
      </c>
      <c r="H1" t="s">
        <v>11</v>
      </c>
      <c r="I1" s="2" t="s">
        <v>12</v>
      </c>
      <c r="J1" s="2" t="s">
        <v>13</v>
      </c>
    </row>
    <row r="2" spans="1:10" x14ac:dyDescent="0.2">
      <c r="A2" s="4">
        <v>40179</v>
      </c>
      <c r="B2">
        <v>10000</v>
      </c>
      <c r="C2">
        <v>10000</v>
      </c>
      <c r="D2">
        <v>10000</v>
      </c>
      <c r="E2">
        <v>10000</v>
      </c>
      <c r="F2">
        <v>10000</v>
      </c>
      <c r="G2">
        <v>10000</v>
      </c>
      <c r="H2">
        <v>0</v>
      </c>
      <c r="I2">
        <v>0</v>
      </c>
      <c r="J2">
        <v>0</v>
      </c>
    </row>
    <row r="3" spans="1:10" x14ac:dyDescent="0.2">
      <c r="A3" s="4">
        <v>40210</v>
      </c>
      <c r="B3">
        <v>10309.712716477476</v>
      </c>
      <c r="C3">
        <v>10309.712716477476</v>
      </c>
      <c r="D3">
        <v>10207.14354883673</v>
      </c>
      <c r="E3">
        <v>10207.14354883673</v>
      </c>
      <c r="F3">
        <v>10104.574381195987</v>
      </c>
      <c r="G3">
        <v>10104.574381195987</v>
      </c>
      <c r="H3">
        <v>0</v>
      </c>
      <c r="I3">
        <v>0</v>
      </c>
      <c r="J3">
        <v>0</v>
      </c>
    </row>
    <row r="4" spans="1:10" x14ac:dyDescent="0.2">
      <c r="A4" s="4">
        <v>40238</v>
      </c>
      <c r="B4">
        <v>10861.176015097892</v>
      </c>
      <c r="C4">
        <v>10861.176015097892</v>
      </c>
      <c r="D4">
        <v>10564.307019767106</v>
      </c>
      <c r="E4">
        <v>10564.307019767106</v>
      </c>
      <c r="F4">
        <v>10271.23270740208</v>
      </c>
      <c r="G4">
        <v>10271.23270740208</v>
      </c>
      <c r="H4">
        <v>0</v>
      </c>
      <c r="I4">
        <v>0</v>
      </c>
      <c r="J4">
        <v>0</v>
      </c>
    </row>
    <row r="5" spans="1:10" x14ac:dyDescent="0.2">
      <c r="A5" s="4">
        <v>40269</v>
      </c>
      <c r="B5">
        <v>11124.837263034351</v>
      </c>
      <c r="C5">
        <v>11124.837263034351</v>
      </c>
      <c r="D5">
        <v>10772.06152622232</v>
      </c>
      <c r="E5">
        <v>10772.06152622232</v>
      </c>
      <c r="F5">
        <v>10425.874659162782</v>
      </c>
      <c r="G5">
        <v>10425.874659162782</v>
      </c>
      <c r="H5">
        <v>0</v>
      </c>
      <c r="I5">
        <v>0</v>
      </c>
      <c r="J5">
        <v>0</v>
      </c>
    </row>
    <row r="6" spans="1:10" x14ac:dyDescent="0.2">
      <c r="A6" s="4">
        <v>40299</v>
      </c>
      <c r="B6">
        <v>10349.05254184216</v>
      </c>
      <c r="C6">
        <v>11124.837263034351</v>
      </c>
      <c r="D6">
        <v>10311.961828996982</v>
      </c>
      <c r="E6">
        <v>10772.06152622232</v>
      </c>
      <c r="F6">
        <v>10262.291079275776</v>
      </c>
      <c r="G6">
        <v>10425.874659162782</v>
      </c>
      <c r="H6">
        <v>-6.9734478163556712E-2</v>
      </c>
      <c r="I6">
        <v>-4.2712316124942418E-2</v>
      </c>
      <c r="J6">
        <v>-1.5690154086328012E-2</v>
      </c>
    </row>
    <row r="7" spans="1:10" x14ac:dyDescent="0.2">
      <c r="A7" s="4">
        <v>40330</v>
      </c>
      <c r="B7">
        <v>9778.5462455398574</v>
      </c>
      <c r="C7">
        <v>11124.837263034351</v>
      </c>
      <c r="D7">
        <v>9982.9897220452895</v>
      </c>
      <c r="E7">
        <v>10772.06152622232</v>
      </c>
      <c r="F7">
        <v>10173.239503743243</v>
      </c>
      <c r="G7">
        <v>10425.874659162782</v>
      </c>
      <c r="H7">
        <v>-0.12101669315810615</v>
      </c>
      <c r="I7">
        <v>-7.3251698596058068E-2</v>
      </c>
      <c r="J7">
        <v>-2.4231555018504936E-2</v>
      </c>
    </row>
    <row r="8" spans="1:10" x14ac:dyDescent="0.2">
      <c r="A8" s="4">
        <v>40360</v>
      </c>
      <c r="B8">
        <v>10448.419351233988</v>
      </c>
      <c r="C8">
        <v>11124.837263034351</v>
      </c>
      <c r="D8">
        <v>10468.568106572906</v>
      </c>
      <c r="E8">
        <v>10772.06152622232</v>
      </c>
      <c r="F8">
        <v>10465.99267437317</v>
      </c>
      <c r="G8">
        <v>10465.99267437317</v>
      </c>
      <c r="H8">
        <v>-6.0802499470978044E-2</v>
      </c>
      <c r="I8">
        <v>-2.8174126086322748E-2</v>
      </c>
      <c r="J8">
        <v>0</v>
      </c>
    </row>
    <row r="9" spans="1:10" x14ac:dyDescent="0.2">
      <c r="A9" s="4">
        <v>40391</v>
      </c>
      <c r="B9">
        <v>10022.953085400359</v>
      </c>
      <c r="C9">
        <v>11124.837263034351</v>
      </c>
      <c r="D9">
        <v>10238.659902782776</v>
      </c>
      <c r="E9">
        <v>10772.06152622232</v>
      </c>
      <c r="F9">
        <v>10432.471251554885</v>
      </c>
      <c r="G9">
        <v>10465.99267437317</v>
      </c>
      <c r="H9">
        <v>-9.904721764293456E-2</v>
      </c>
      <c r="I9">
        <v>-4.9517134871639001E-2</v>
      </c>
      <c r="J9">
        <v>-3.2028899561877822E-3</v>
      </c>
    </row>
    <row r="10" spans="1:10" x14ac:dyDescent="0.2">
      <c r="A10" s="4">
        <v>40422</v>
      </c>
      <c r="B10">
        <v>10825.919925272916</v>
      </c>
      <c r="C10">
        <v>11124.837263034351</v>
      </c>
      <c r="D10">
        <v>10785.491714167298</v>
      </c>
      <c r="E10">
        <v>10785.491714167298</v>
      </c>
      <c r="F10">
        <v>10711.062747213131</v>
      </c>
      <c r="G10">
        <v>10711.062747213131</v>
      </c>
      <c r="H10">
        <v>-2.6869367227031593E-2</v>
      </c>
      <c r="I10">
        <v>0</v>
      </c>
      <c r="J10">
        <v>0</v>
      </c>
    </row>
    <row r="11" spans="1:10" x14ac:dyDescent="0.2">
      <c r="A11" s="4">
        <v>40452</v>
      </c>
      <c r="B11">
        <v>11272.57798745499</v>
      </c>
      <c r="C11">
        <v>11272.57798745499</v>
      </c>
      <c r="D11">
        <v>11093.709585049524</v>
      </c>
      <c r="E11">
        <v>11093.709585049524</v>
      </c>
      <c r="F11">
        <v>10881.325302960795</v>
      </c>
      <c r="G11">
        <v>10881.325302960795</v>
      </c>
      <c r="H11">
        <v>0</v>
      </c>
      <c r="I11">
        <v>0</v>
      </c>
      <c r="J11">
        <v>0</v>
      </c>
    </row>
    <row r="12" spans="1:10" x14ac:dyDescent="0.2">
      <c r="A12" s="4">
        <v>40483</v>
      </c>
      <c r="B12">
        <v>11317.157756658382</v>
      </c>
      <c r="C12">
        <v>11317.157756658382</v>
      </c>
      <c r="D12">
        <v>11097.166630225556</v>
      </c>
      <c r="E12">
        <v>11097.166630225556</v>
      </c>
      <c r="F12">
        <v>10845.074547470727</v>
      </c>
      <c r="G12">
        <v>10881.325302960795</v>
      </c>
      <c r="H12">
        <v>0</v>
      </c>
      <c r="I12">
        <v>0</v>
      </c>
      <c r="J12">
        <v>-3.3314651001384865E-3</v>
      </c>
    </row>
    <row r="13" spans="1:10" x14ac:dyDescent="0.2">
      <c r="A13" s="4">
        <v>40513</v>
      </c>
      <c r="B13">
        <v>11947.975145201199</v>
      </c>
      <c r="C13">
        <v>11947.975145201199</v>
      </c>
      <c r="D13">
        <v>11445.638814132884</v>
      </c>
      <c r="E13">
        <v>11445.638814132884</v>
      </c>
      <c r="F13">
        <v>10921.683059946658</v>
      </c>
      <c r="G13">
        <v>10921.683059946658</v>
      </c>
      <c r="H13">
        <v>0</v>
      </c>
      <c r="I13">
        <v>0</v>
      </c>
      <c r="J13">
        <v>0</v>
      </c>
    </row>
    <row r="14" spans="1:10" x14ac:dyDescent="0.2">
      <c r="A14" s="4">
        <v>40544</v>
      </c>
      <c r="B14">
        <v>12240.517846456029</v>
      </c>
      <c r="C14">
        <v>12240.517846456029</v>
      </c>
      <c r="D14">
        <v>11674.473976426278</v>
      </c>
      <c r="E14">
        <v>11674.473976426278</v>
      </c>
      <c r="F14">
        <v>11090.988022731668</v>
      </c>
      <c r="G14">
        <v>11090.988022731668</v>
      </c>
      <c r="H14">
        <v>0</v>
      </c>
      <c r="I14">
        <v>0</v>
      </c>
      <c r="J14">
        <v>0</v>
      </c>
    </row>
    <row r="15" spans="1:10" x14ac:dyDescent="0.2">
      <c r="A15" s="4">
        <v>40575</v>
      </c>
      <c r="B15">
        <v>12649.255986558535</v>
      </c>
      <c r="C15">
        <v>12649.255986558535</v>
      </c>
      <c r="D15">
        <v>11934.36509321598</v>
      </c>
      <c r="E15">
        <v>11934.36509321598</v>
      </c>
      <c r="F15">
        <v>11214.438949486455</v>
      </c>
      <c r="G15">
        <v>11214.438949486455</v>
      </c>
      <c r="H15">
        <v>0</v>
      </c>
      <c r="I15">
        <v>0</v>
      </c>
      <c r="J15">
        <v>0</v>
      </c>
    </row>
    <row r="16" spans="1:10" x14ac:dyDescent="0.2">
      <c r="A16" s="4">
        <v>40603</v>
      </c>
      <c r="B16">
        <v>12647.564263365835</v>
      </c>
      <c r="C16">
        <v>12649.255986558535</v>
      </c>
      <c r="D16">
        <v>11927.980641121787</v>
      </c>
      <c r="E16">
        <v>11934.36509321598</v>
      </c>
      <c r="F16">
        <v>11203.94014343898</v>
      </c>
      <c r="G16">
        <v>11214.438949486455</v>
      </c>
      <c r="H16">
        <v>-1.3374092472295818E-4</v>
      </c>
      <c r="I16">
        <v>-5.3496369889183271E-4</v>
      </c>
      <c r="J16">
        <v>-9.3618647306081826E-4</v>
      </c>
    </row>
    <row r="17" spans="1:10" x14ac:dyDescent="0.2">
      <c r="A17" s="4">
        <v>40634</v>
      </c>
      <c r="B17">
        <v>13043.010537697697</v>
      </c>
      <c r="C17">
        <v>13043.010537697697</v>
      </c>
      <c r="D17">
        <v>12234.422709026976</v>
      </c>
      <c r="E17">
        <v>12234.422709026976</v>
      </c>
      <c r="F17">
        <v>11429.312528785023</v>
      </c>
      <c r="G17">
        <v>11429.312528785023</v>
      </c>
      <c r="H17">
        <v>0</v>
      </c>
      <c r="I17">
        <v>0</v>
      </c>
      <c r="J17">
        <v>0</v>
      </c>
    </row>
    <row r="18" spans="1:10" x14ac:dyDescent="0.2">
      <c r="A18" s="4">
        <v>40664</v>
      </c>
      <c r="B18">
        <v>12933.763115565853</v>
      </c>
      <c r="C18">
        <v>13043.010537697697</v>
      </c>
      <c r="D18">
        <v>12214.554805010455</v>
      </c>
      <c r="E18">
        <v>12234.422709026976</v>
      </c>
      <c r="F18">
        <v>11487.922804337632</v>
      </c>
      <c r="G18">
        <v>11487.922804337632</v>
      </c>
      <c r="H18">
        <v>-8.3759360475935685E-3</v>
      </c>
      <c r="I18">
        <v>-1.6239347363616874E-3</v>
      </c>
      <c r="J18">
        <v>0</v>
      </c>
    </row>
    <row r="19" spans="1:10" x14ac:dyDescent="0.2">
      <c r="A19" s="4">
        <v>40695</v>
      </c>
      <c r="B19">
        <v>12672.422845660156</v>
      </c>
      <c r="C19">
        <v>13043.010537697697</v>
      </c>
      <c r="D19">
        <v>12034.840952877285</v>
      </c>
      <c r="E19">
        <v>12234.422709026976</v>
      </c>
      <c r="F19">
        <v>11382.002652713269</v>
      </c>
      <c r="G19">
        <v>11487.922804337632</v>
      </c>
      <c r="H19">
        <v>-2.8412741902373417E-2</v>
      </c>
      <c r="I19">
        <v>-1.6313132290453947E-2</v>
      </c>
      <c r="J19">
        <v>-9.2201308651177483E-3</v>
      </c>
    </row>
    <row r="20" spans="1:10" x14ac:dyDescent="0.2">
      <c r="A20" s="4">
        <v>40725</v>
      </c>
      <c r="B20">
        <v>12481.398777225568</v>
      </c>
      <c r="C20">
        <v>13043.010537697697</v>
      </c>
      <c r="D20">
        <v>11979.183243001577</v>
      </c>
      <c r="E20">
        <v>12234.422709026976</v>
      </c>
      <c r="F20">
        <v>11448.297893025296</v>
      </c>
      <c r="G20">
        <v>11487.922804337632</v>
      </c>
      <c r="H20">
        <v>-4.3058445659376332E-2</v>
      </c>
      <c r="I20">
        <v>-2.0862403735410817E-2</v>
      </c>
      <c r="J20">
        <v>-3.4492668506942437E-3</v>
      </c>
    </row>
    <row r="21" spans="1:10" x14ac:dyDescent="0.2">
      <c r="A21" s="4">
        <v>40756</v>
      </c>
      <c r="B21">
        <v>11819.366564439075</v>
      </c>
      <c r="C21">
        <v>13043.010537697697</v>
      </c>
      <c r="D21">
        <v>11621.734068300912</v>
      </c>
      <c r="E21">
        <v>12234.422709026976</v>
      </c>
      <c r="F21">
        <v>11372.316909694087</v>
      </c>
      <c r="G21">
        <v>11487.922804337632</v>
      </c>
      <c r="H21">
        <v>-9.381606874593662E-2</v>
      </c>
      <c r="I21">
        <v>-5.0079080582527302E-2</v>
      </c>
      <c r="J21">
        <v>-1.006325482966286E-2</v>
      </c>
    </row>
    <row r="22" spans="1:10" x14ac:dyDescent="0.2">
      <c r="A22" s="4">
        <v>40787</v>
      </c>
      <c r="B22">
        <v>10968.725051097234</v>
      </c>
      <c r="C22">
        <v>13043.010537697697</v>
      </c>
      <c r="D22">
        <v>11090.775896826412</v>
      </c>
      <c r="E22">
        <v>12234.422709026976</v>
      </c>
      <c r="F22">
        <v>11151.657924135707</v>
      </c>
      <c r="G22">
        <v>11487.922804337632</v>
      </c>
      <c r="H22">
        <v>-0.15903425674657234</v>
      </c>
      <c r="I22">
        <v>-9.3477791261596943E-2</v>
      </c>
      <c r="J22">
        <v>-2.9271164676956007E-2</v>
      </c>
    </row>
    <row r="23" spans="1:10" x14ac:dyDescent="0.2">
      <c r="A23" s="4">
        <v>40817</v>
      </c>
      <c r="B23">
        <v>12150.118817990122</v>
      </c>
      <c r="C23">
        <v>13043.010537697697</v>
      </c>
      <c r="D23">
        <v>11891.124222981114</v>
      </c>
      <c r="E23">
        <v>12234.422709026976</v>
      </c>
      <c r="F23">
        <v>11560.044814485245</v>
      </c>
      <c r="G23">
        <v>11560.044814485245</v>
      </c>
      <c r="H23">
        <v>-6.8457486645961518E-2</v>
      </c>
      <c r="I23">
        <v>-2.8060047802056398E-2</v>
      </c>
      <c r="J23">
        <v>0</v>
      </c>
    </row>
    <row r="24" spans="1:10" x14ac:dyDescent="0.2">
      <c r="A24" s="4">
        <v>40848</v>
      </c>
      <c r="B24">
        <v>12110.176251023053</v>
      </c>
      <c r="C24">
        <v>13043.010537697697</v>
      </c>
      <c r="D24">
        <v>11862.927459147137</v>
      </c>
      <c r="E24">
        <v>12234.422709026976</v>
      </c>
      <c r="F24">
        <v>11543.224172073382</v>
      </c>
      <c r="G24">
        <v>11560.044814485245</v>
      </c>
      <c r="H24">
        <v>-7.1519859926395868E-2</v>
      </c>
      <c r="I24">
        <v>-3.0364755143349575E-2</v>
      </c>
      <c r="J24">
        <v>-1.4550672321603786E-3</v>
      </c>
    </row>
    <row r="25" spans="1:10" x14ac:dyDescent="0.2">
      <c r="A25" s="4">
        <v>40878</v>
      </c>
      <c r="B25">
        <v>12159.501712793146</v>
      </c>
      <c r="C25">
        <v>13043.010537697697</v>
      </c>
      <c r="D25">
        <v>11913.617807878483</v>
      </c>
      <c r="E25">
        <v>12234.422709026976</v>
      </c>
      <c r="F25">
        <v>11594.856449496545</v>
      </c>
      <c r="G25">
        <v>11594.856449496545</v>
      </c>
      <c r="H25">
        <v>-6.7738105581604868E-2</v>
      </c>
      <c r="I25">
        <v>-2.6221498862532555E-2</v>
      </c>
      <c r="J25">
        <v>0</v>
      </c>
    </row>
    <row r="26" spans="1:10" x14ac:dyDescent="0.2">
      <c r="A26" s="4">
        <v>40909</v>
      </c>
      <c r="B26">
        <v>12799.184202492515</v>
      </c>
      <c r="C26">
        <v>13043.010537697697</v>
      </c>
      <c r="D26">
        <v>12395.38634837437</v>
      </c>
      <c r="E26">
        <v>12395.38634837437</v>
      </c>
      <c r="F26">
        <v>11922.635239597299</v>
      </c>
      <c r="G26">
        <v>11922.635239597299</v>
      </c>
      <c r="H26">
        <v>-1.8694022710513014E-2</v>
      </c>
      <c r="I26">
        <v>0</v>
      </c>
      <c r="J26">
        <v>0</v>
      </c>
    </row>
    <row r="27" spans="1:10" x14ac:dyDescent="0.2">
      <c r="A27" s="4">
        <v>40940</v>
      </c>
      <c r="B27">
        <v>13281.524762301702</v>
      </c>
      <c r="C27">
        <v>13281.524762301702</v>
      </c>
      <c r="D27">
        <v>12698.072758703256</v>
      </c>
      <c r="E27">
        <v>12698.072758703256</v>
      </c>
      <c r="F27">
        <v>12055.611990907159</v>
      </c>
      <c r="G27">
        <v>12055.611990907159</v>
      </c>
      <c r="H27">
        <v>0</v>
      </c>
      <c r="I27">
        <v>0</v>
      </c>
      <c r="J27">
        <v>0</v>
      </c>
    </row>
    <row r="28" spans="1:10" x14ac:dyDescent="0.2">
      <c r="A28" s="4">
        <v>40969</v>
      </c>
      <c r="B28">
        <v>13589.013132450413</v>
      </c>
      <c r="C28">
        <v>13589.013132450413</v>
      </c>
      <c r="D28">
        <v>12873.150226209222</v>
      </c>
      <c r="E28">
        <v>12873.150226209222</v>
      </c>
      <c r="F28">
        <v>12108.944243482527</v>
      </c>
      <c r="G28">
        <v>12108.944243482527</v>
      </c>
      <c r="H28">
        <v>0</v>
      </c>
      <c r="I28">
        <v>0</v>
      </c>
      <c r="J28">
        <v>0</v>
      </c>
    </row>
    <row r="29" spans="1:10" x14ac:dyDescent="0.2">
      <c r="A29" s="4">
        <v>41000</v>
      </c>
      <c r="B29">
        <v>13576.594515748953</v>
      </c>
      <c r="C29">
        <v>13589.013132450413</v>
      </c>
      <c r="D29">
        <v>12907.913457346594</v>
      </c>
      <c r="E29">
        <v>12907.913457346594</v>
      </c>
      <c r="F29">
        <v>12185.409337059971</v>
      </c>
      <c r="G29">
        <v>12185.409337059971</v>
      </c>
      <c r="H29">
        <v>-9.1387185959834749E-4</v>
      </c>
      <c r="I29">
        <v>0</v>
      </c>
      <c r="J29">
        <v>0</v>
      </c>
    </row>
    <row r="30" spans="1:10" x14ac:dyDescent="0.2">
      <c r="A30" s="4">
        <v>41030</v>
      </c>
      <c r="B30">
        <v>12832.076488023456</v>
      </c>
      <c r="C30">
        <v>13589.013132450413</v>
      </c>
      <c r="D30">
        <v>12481.337078847617</v>
      </c>
      <c r="E30">
        <v>12907.913457346594</v>
      </c>
      <c r="F30">
        <v>12048.238455365905</v>
      </c>
      <c r="G30">
        <v>12185.409337059971</v>
      </c>
      <c r="H30">
        <v>-5.5702105594364282E-2</v>
      </c>
      <c r="I30">
        <v>-3.3047663350747825E-2</v>
      </c>
      <c r="J30">
        <v>-1.1256977742789775E-2</v>
      </c>
    </row>
    <row r="31" spans="1:10" x14ac:dyDescent="0.2">
      <c r="A31" s="4">
        <v>41061</v>
      </c>
      <c r="B31">
        <v>13238.191691749973</v>
      </c>
      <c r="C31">
        <v>13589.013132450413</v>
      </c>
      <c r="D31">
        <v>12747.571517397191</v>
      </c>
      <c r="E31">
        <v>12907.913457346594</v>
      </c>
      <c r="F31">
        <v>12180.922870672975</v>
      </c>
      <c r="G31">
        <v>12185.409337059971</v>
      </c>
      <c r="H31">
        <v>-2.5816550273447203E-2</v>
      </c>
      <c r="I31">
        <v>-1.2421987525655709E-2</v>
      </c>
      <c r="J31">
        <v>-3.6818347770650739E-4</v>
      </c>
    </row>
    <row r="32" spans="1:10" x14ac:dyDescent="0.2">
      <c r="A32" s="4">
        <v>41091</v>
      </c>
      <c r="B32">
        <v>13419.534626564084</v>
      </c>
      <c r="C32">
        <v>13589.013132450413</v>
      </c>
      <c r="D32">
        <v>12916.363485663305</v>
      </c>
      <c r="E32">
        <v>12916.363485663305</v>
      </c>
      <c r="F32">
        <v>12336.640723071305</v>
      </c>
      <c r="G32">
        <v>12336.640723071305</v>
      </c>
      <c r="H32">
        <v>-1.2471730230476874E-2</v>
      </c>
      <c r="I32">
        <v>0</v>
      </c>
      <c r="J32">
        <v>0</v>
      </c>
    </row>
    <row r="33" spans="1:10" x14ac:dyDescent="0.2">
      <c r="A33" s="4">
        <v>41122</v>
      </c>
      <c r="B33">
        <v>13749.435262244053</v>
      </c>
      <c r="C33">
        <v>13749.435262244053</v>
      </c>
      <c r="D33">
        <v>13134.696092669903</v>
      </c>
      <c r="E33">
        <v>13134.696092669903</v>
      </c>
      <c r="F33">
        <v>12450.427980874851</v>
      </c>
      <c r="G33">
        <v>12450.427980874851</v>
      </c>
      <c r="H33">
        <v>0</v>
      </c>
      <c r="I33">
        <v>0</v>
      </c>
      <c r="J33">
        <v>0</v>
      </c>
    </row>
    <row r="34" spans="1:10" x14ac:dyDescent="0.2">
      <c r="A34" s="4">
        <v>41153</v>
      </c>
      <c r="B34">
        <v>13996.742863102778</v>
      </c>
      <c r="C34">
        <v>13996.742863102778</v>
      </c>
      <c r="D34">
        <v>13300.44305826295</v>
      </c>
      <c r="E34">
        <v>13300.44305826295</v>
      </c>
      <c r="F34">
        <v>12540.709642180133</v>
      </c>
      <c r="G34">
        <v>12540.709642180133</v>
      </c>
      <c r="H34">
        <v>0</v>
      </c>
      <c r="I34">
        <v>0</v>
      </c>
      <c r="J34">
        <v>0</v>
      </c>
    </row>
    <row r="35" spans="1:10" x14ac:dyDescent="0.2">
      <c r="A35" s="4">
        <v>41183</v>
      </c>
      <c r="B35">
        <v>13829.084729331673</v>
      </c>
      <c r="C35">
        <v>13996.742863102778</v>
      </c>
      <c r="D35">
        <v>13190.442673464662</v>
      </c>
      <c r="E35">
        <v>13300.44305826295</v>
      </c>
      <c r="F35">
        <v>12483.492749176869</v>
      </c>
      <c r="G35">
        <v>12540.709642180133</v>
      </c>
      <c r="H35">
        <v>-1.1978367782484178E-2</v>
      </c>
      <c r="I35">
        <v>-8.2704301139765457E-3</v>
      </c>
      <c r="J35">
        <v>-4.5624924454688021E-3</v>
      </c>
    </row>
    <row r="36" spans="1:10" x14ac:dyDescent="0.2">
      <c r="A36" s="4">
        <v>41214</v>
      </c>
      <c r="B36">
        <v>13930.037932370877</v>
      </c>
      <c r="C36">
        <v>13996.742863102778</v>
      </c>
      <c r="D36">
        <v>13265.918320126062</v>
      </c>
      <c r="E36">
        <v>13300.44305826295</v>
      </c>
      <c r="F36">
        <v>12535.223419155282</v>
      </c>
      <c r="G36">
        <v>12540.709642180133</v>
      </c>
      <c r="H36">
        <v>-4.7657466729451592E-3</v>
      </c>
      <c r="I36">
        <v>-2.595758501100387E-3</v>
      </c>
      <c r="J36">
        <v>-4.3747309214448027E-4</v>
      </c>
    </row>
    <row r="37" spans="1:10" x14ac:dyDescent="0.2">
      <c r="A37" s="4">
        <v>41244</v>
      </c>
      <c r="B37">
        <v>13982.130609736443</v>
      </c>
      <c r="C37">
        <v>13996.742863102778</v>
      </c>
      <c r="D37">
        <v>13251.459211087047</v>
      </c>
      <c r="E37">
        <v>13300.44305826295</v>
      </c>
      <c r="F37">
        <v>12461.021395956859</v>
      </c>
      <c r="G37">
        <v>12540.709642180133</v>
      </c>
      <c r="H37">
        <v>-1.0439752669069158E-3</v>
      </c>
      <c r="I37">
        <v>-3.6828733419878024E-3</v>
      </c>
      <c r="J37">
        <v>-6.3543649838798677E-3</v>
      </c>
    </row>
    <row r="38" spans="1:10" x14ac:dyDescent="0.2">
      <c r="A38" s="4">
        <v>41275</v>
      </c>
      <c r="B38">
        <v>14757.283222492295</v>
      </c>
      <c r="C38">
        <v>14757.283222492295</v>
      </c>
      <c r="D38">
        <v>13719.891043843849</v>
      </c>
      <c r="E38">
        <v>13719.891043843849</v>
      </c>
      <c r="F38">
        <v>12651.177837269184</v>
      </c>
      <c r="G38">
        <v>12651.177837269184</v>
      </c>
      <c r="H38">
        <v>0</v>
      </c>
      <c r="I38">
        <v>0</v>
      </c>
      <c r="J38">
        <v>0</v>
      </c>
    </row>
    <row r="39" spans="1:10" x14ac:dyDescent="0.2">
      <c r="A39" s="4">
        <v>41306</v>
      </c>
      <c r="B39">
        <v>14931.703537892294</v>
      </c>
      <c r="C39">
        <v>14931.703537892294</v>
      </c>
      <c r="D39">
        <v>13843.056492165919</v>
      </c>
      <c r="E39">
        <v>13843.056492165919</v>
      </c>
      <c r="F39">
        <v>12728.79306040882</v>
      </c>
      <c r="G39">
        <v>12728.79306040882</v>
      </c>
      <c r="H39">
        <v>0</v>
      </c>
      <c r="I39">
        <v>0</v>
      </c>
      <c r="J39">
        <v>0</v>
      </c>
    </row>
    <row r="40" spans="1:10" x14ac:dyDescent="0.2">
      <c r="A40" s="4">
        <v>41334</v>
      </c>
      <c r="B40">
        <v>15400.457733553934</v>
      </c>
      <c r="C40">
        <v>15400.457733553934</v>
      </c>
      <c r="D40">
        <v>14136.760649715801</v>
      </c>
      <c r="E40">
        <v>14136.760649715801</v>
      </c>
      <c r="F40">
        <v>12869.321609456538</v>
      </c>
      <c r="G40">
        <v>12869.321609456538</v>
      </c>
      <c r="H40">
        <v>0</v>
      </c>
      <c r="I40">
        <v>0</v>
      </c>
      <c r="J40">
        <v>0</v>
      </c>
    </row>
    <row r="41" spans="1:10" x14ac:dyDescent="0.2">
      <c r="A41" s="4">
        <v>41365</v>
      </c>
      <c r="B41">
        <v>15699.880581836371</v>
      </c>
      <c r="C41">
        <v>15699.880581836371</v>
      </c>
      <c r="D41">
        <v>14359.847935448626</v>
      </c>
      <c r="E41">
        <v>14359.847935448626</v>
      </c>
      <c r="F41">
        <v>13025.282829886599</v>
      </c>
      <c r="G41">
        <v>13025.282829886599</v>
      </c>
      <c r="H41">
        <v>0</v>
      </c>
      <c r="I41">
        <v>0</v>
      </c>
      <c r="J41">
        <v>0</v>
      </c>
    </row>
    <row r="42" spans="1:10" x14ac:dyDescent="0.2">
      <c r="A42" s="4">
        <v>41395</v>
      </c>
      <c r="B42">
        <v>16018.034007047425</v>
      </c>
      <c r="C42">
        <v>16018.034007047425</v>
      </c>
      <c r="D42">
        <v>14469.468507226598</v>
      </c>
      <c r="E42">
        <v>14469.468507226598</v>
      </c>
      <c r="F42">
        <v>12960.194804719416</v>
      </c>
      <c r="G42">
        <v>13025.282829886599</v>
      </c>
      <c r="H42">
        <v>0</v>
      </c>
      <c r="I42">
        <v>0</v>
      </c>
      <c r="J42">
        <v>-4.9970527333070835E-3</v>
      </c>
    </row>
    <row r="43" spans="1:10" x14ac:dyDescent="0.2">
      <c r="A43" s="4">
        <v>41426</v>
      </c>
      <c r="B43">
        <v>15717.27266023011</v>
      </c>
      <c r="C43">
        <v>16018.034007047425</v>
      </c>
      <c r="D43">
        <v>14208.519532238539</v>
      </c>
      <c r="E43">
        <v>14469.468507226598</v>
      </c>
      <c r="F43">
        <v>12736.080782549223</v>
      </c>
      <c r="G43">
        <v>13025.282829886599</v>
      </c>
      <c r="H43">
        <v>-1.8776420794523796E-2</v>
      </c>
      <c r="I43">
        <v>-1.8034454745710415E-2</v>
      </c>
      <c r="J43">
        <v>-2.2203129952295564E-2</v>
      </c>
    </row>
    <row r="44" spans="1:10" x14ac:dyDescent="0.2">
      <c r="A44" s="4">
        <v>41456</v>
      </c>
      <c r="B44">
        <v>16605.621357256026</v>
      </c>
      <c r="C44">
        <v>16605.621357256026</v>
      </c>
      <c r="D44">
        <v>14761.52070615804</v>
      </c>
      <c r="E44">
        <v>14761.52070615804</v>
      </c>
      <c r="F44">
        <v>13007.617208705828</v>
      </c>
      <c r="G44">
        <v>13025.282829886599</v>
      </c>
      <c r="H44">
        <v>0</v>
      </c>
      <c r="I44">
        <v>0</v>
      </c>
      <c r="J44">
        <v>-1.356256244988252E-3</v>
      </c>
    </row>
    <row r="45" spans="1:10" x14ac:dyDescent="0.2">
      <c r="A45" s="4">
        <v>41487</v>
      </c>
      <c r="B45">
        <v>16138.993600943877</v>
      </c>
      <c r="C45">
        <v>16605.621357256026</v>
      </c>
      <c r="D45">
        <v>14443.297920808032</v>
      </c>
      <c r="E45">
        <v>14761.52070615804</v>
      </c>
      <c r="F45">
        <v>12812.313214031024</v>
      </c>
      <c r="G45">
        <v>13025.282829886599</v>
      </c>
      <c r="H45">
        <v>-2.8100589931147057E-2</v>
      </c>
      <c r="I45">
        <v>-2.1557588251544857E-2</v>
      </c>
      <c r="J45">
        <v>-1.6350479190126666E-2</v>
      </c>
    </row>
    <row r="46" spans="1:10" x14ac:dyDescent="0.2">
      <c r="A46" s="4">
        <v>41518</v>
      </c>
      <c r="B46">
        <v>16650.653488180164</v>
      </c>
      <c r="C46">
        <v>16650.653488180164</v>
      </c>
      <c r="D46">
        <v>14801.696908596035</v>
      </c>
      <c r="E46">
        <v>14801.696908596035</v>
      </c>
      <c r="F46">
        <v>13041.974973190896</v>
      </c>
      <c r="G46">
        <v>13041.974973190896</v>
      </c>
      <c r="H46">
        <v>0</v>
      </c>
      <c r="I46">
        <v>0</v>
      </c>
      <c r="J46">
        <v>0</v>
      </c>
    </row>
    <row r="47" spans="1:10" x14ac:dyDescent="0.2">
      <c r="A47" s="4">
        <v>41548</v>
      </c>
      <c r="B47">
        <v>17379.53236461067</v>
      </c>
      <c r="C47">
        <v>17379.53236461067</v>
      </c>
      <c r="D47">
        <v>15275.352621861484</v>
      </c>
      <c r="E47">
        <v>15275.352621861484</v>
      </c>
      <c r="F47">
        <v>13305.754131418393</v>
      </c>
      <c r="G47">
        <v>13305.754131418393</v>
      </c>
      <c r="H47">
        <v>0</v>
      </c>
      <c r="I47">
        <v>0</v>
      </c>
      <c r="J47">
        <v>0</v>
      </c>
    </row>
    <row r="48" spans="1:10" x14ac:dyDescent="0.2">
      <c r="A48" s="4">
        <v>41579</v>
      </c>
      <c r="B48">
        <v>17797.859974812745</v>
      </c>
      <c r="C48">
        <v>17797.859974812745</v>
      </c>
      <c r="D48">
        <v>15505.360651754663</v>
      </c>
      <c r="E48">
        <v>15505.360651754663</v>
      </c>
      <c r="F48">
        <v>13386.184648450779</v>
      </c>
      <c r="G48">
        <v>13386.184648450779</v>
      </c>
      <c r="H48">
        <v>0</v>
      </c>
      <c r="I48">
        <v>0</v>
      </c>
      <c r="J48">
        <v>0</v>
      </c>
    </row>
    <row r="49" spans="1:10" x14ac:dyDescent="0.2">
      <c r="A49" s="4">
        <v>41609</v>
      </c>
      <c r="B49">
        <v>18132.165041645199</v>
      </c>
      <c r="C49">
        <v>18132.165041645199</v>
      </c>
      <c r="D49">
        <v>15651.558358034403</v>
      </c>
      <c r="E49">
        <v>15651.558358034403</v>
      </c>
      <c r="F49">
        <v>13387.178659242247</v>
      </c>
      <c r="G49">
        <v>13387.178659242247</v>
      </c>
      <c r="H49">
        <v>0</v>
      </c>
      <c r="I49">
        <v>0</v>
      </c>
      <c r="J49">
        <v>0</v>
      </c>
    </row>
    <row r="50" spans="1:10" x14ac:dyDescent="0.2">
      <c r="A50" s="4">
        <v>41640</v>
      </c>
      <c r="B50">
        <v>17736.13554610854</v>
      </c>
      <c r="C50">
        <v>18132.165041645199</v>
      </c>
      <c r="D50">
        <v>15531.542974966644</v>
      </c>
      <c r="E50">
        <v>15651.558358034403</v>
      </c>
      <c r="F50">
        <v>13474.267169618757</v>
      </c>
      <c r="G50">
        <v>13474.267169618757</v>
      </c>
      <c r="H50">
        <v>-2.1841269072230163E-2</v>
      </c>
      <c r="I50">
        <v>-7.6679510322467115E-3</v>
      </c>
      <c r="J50">
        <v>0</v>
      </c>
    </row>
    <row r="51" spans="1:10" x14ac:dyDescent="0.2">
      <c r="A51" s="4">
        <v>41671</v>
      </c>
      <c r="B51">
        <v>18517.297458472774</v>
      </c>
      <c r="C51">
        <v>18517.297458472774</v>
      </c>
      <c r="D51">
        <v>16001.032789288907</v>
      </c>
      <c r="E51">
        <v>16001.032789288907</v>
      </c>
      <c r="F51">
        <v>13695.417303999724</v>
      </c>
      <c r="G51">
        <v>13695.417303999724</v>
      </c>
      <c r="H51">
        <v>0</v>
      </c>
      <c r="I51">
        <v>0</v>
      </c>
      <c r="J51">
        <v>0</v>
      </c>
    </row>
    <row r="52" spans="1:10" x14ac:dyDescent="0.2">
      <c r="A52" s="4">
        <v>41699</v>
      </c>
      <c r="B52">
        <v>18524.575524999858</v>
      </c>
      <c r="C52">
        <v>18524.575524999858</v>
      </c>
      <c r="D52">
        <v>15996.01362426111</v>
      </c>
      <c r="E52">
        <v>16001.032789288907</v>
      </c>
      <c r="F52">
        <v>13681.442546176635</v>
      </c>
      <c r="G52">
        <v>13695.417303999724</v>
      </c>
      <c r="H52">
        <v>0</v>
      </c>
      <c r="I52">
        <v>-3.1367756656042189E-4</v>
      </c>
      <c r="J52">
        <v>-1.0203966416567622E-3</v>
      </c>
    </row>
    <row r="53" spans="1:10" x14ac:dyDescent="0.2">
      <c r="A53" s="4">
        <v>41730</v>
      </c>
      <c r="B53">
        <v>18622.787786063534</v>
      </c>
      <c r="C53">
        <v>18622.787786063534</v>
      </c>
      <c r="D53">
        <v>16094.063446072731</v>
      </c>
      <c r="E53">
        <v>16094.063446072731</v>
      </c>
      <c r="F53">
        <v>13776.631922734759</v>
      </c>
      <c r="G53">
        <v>13776.631922734759</v>
      </c>
      <c r="H53">
        <v>0</v>
      </c>
      <c r="I53">
        <v>0</v>
      </c>
      <c r="J53">
        <v>0</v>
      </c>
    </row>
    <row r="54" spans="1:10" x14ac:dyDescent="0.2">
      <c r="A54" s="4">
        <v>41760</v>
      </c>
      <c r="B54">
        <v>18994.943861271484</v>
      </c>
      <c r="C54">
        <v>18994.943861271484</v>
      </c>
      <c r="D54">
        <v>16366.499816355614</v>
      </c>
      <c r="E54">
        <v>16366.499816355614</v>
      </c>
      <c r="F54">
        <v>13967.735892120407</v>
      </c>
      <c r="G54">
        <v>13967.735892120407</v>
      </c>
      <c r="H54">
        <v>0</v>
      </c>
      <c r="I54">
        <v>0</v>
      </c>
      <c r="J54">
        <v>0</v>
      </c>
    </row>
    <row r="55" spans="1:10" x14ac:dyDescent="0.2">
      <c r="A55" s="4">
        <v>41791</v>
      </c>
      <c r="B55">
        <v>19373.339166031281</v>
      </c>
      <c r="C55">
        <v>19373.339166031281</v>
      </c>
      <c r="D55">
        <v>16588.488865338946</v>
      </c>
      <c r="E55">
        <v>16588.488865338946</v>
      </c>
      <c r="F55">
        <v>14068.393045081964</v>
      </c>
      <c r="G55">
        <v>14068.393045081964</v>
      </c>
      <c r="H55">
        <v>0</v>
      </c>
      <c r="I55">
        <v>0</v>
      </c>
      <c r="J55">
        <v>0</v>
      </c>
    </row>
    <row r="56" spans="1:10" x14ac:dyDescent="0.2">
      <c r="A56" s="4">
        <v>41821</v>
      </c>
      <c r="B56">
        <v>19090.256124390231</v>
      </c>
      <c r="C56">
        <v>19373.339166031281</v>
      </c>
      <c r="D56">
        <v>16411.881918135867</v>
      </c>
      <c r="E56">
        <v>16588.488865338946</v>
      </c>
      <c r="F56">
        <v>13974.406042938024</v>
      </c>
      <c r="G56">
        <v>14068.393045081964</v>
      </c>
      <c r="H56">
        <v>-1.4611990179648537E-2</v>
      </c>
      <c r="I56">
        <v>-1.0646355351396353E-2</v>
      </c>
      <c r="J56">
        <v>-6.68072052314439E-3</v>
      </c>
    </row>
    <row r="57" spans="1:10" x14ac:dyDescent="0.2">
      <c r="A57" s="4">
        <v>41852</v>
      </c>
      <c r="B57">
        <v>19825.28970964114</v>
      </c>
      <c r="C57">
        <v>19825.28970964114</v>
      </c>
      <c r="D57">
        <v>16895.521076791923</v>
      </c>
      <c r="E57">
        <v>16895.521076791923</v>
      </c>
      <c r="F57">
        <v>14259.967556323405</v>
      </c>
      <c r="G57">
        <v>14259.967556323405</v>
      </c>
      <c r="H57">
        <v>0</v>
      </c>
      <c r="I57">
        <v>0</v>
      </c>
      <c r="J57">
        <v>0</v>
      </c>
    </row>
    <row r="58" spans="1:10" x14ac:dyDescent="0.2">
      <c r="A58" s="4">
        <v>41883</v>
      </c>
      <c r="B58">
        <v>19361.362853351315</v>
      </c>
      <c r="C58">
        <v>19825.28970964114</v>
      </c>
      <c r="D58">
        <v>16599.727951944678</v>
      </c>
      <c r="E58">
        <v>16895.521076791923</v>
      </c>
      <c r="F58">
        <v>14094.357673081331</v>
      </c>
      <c r="G58">
        <v>14259.967556323405</v>
      </c>
      <c r="H58">
        <v>-2.3400760497548467E-2</v>
      </c>
      <c r="I58">
        <v>-1.7507191610299233E-2</v>
      </c>
      <c r="J58">
        <v>-1.1613622723049999E-2</v>
      </c>
    </row>
    <row r="59" spans="1:10" x14ac:dyDescent="0.2">
      <c r="A59" s="4">
        <v>41913</v>
      </c>
      <c r="B59">
        <v>19935.531441652038</v>
      </c>
      <c r="C59">
        <v>19935.531441652038</v>
      </c>
      <c r="D59">
        <v>16968.167575191696</v>
      </c>
      <c r="E59">
        <v>16968.167575191696</v>
      </c>
      <c r="F59">
        <v>14302.047374425116</v>
      </c>
      <c r="G59">
        <v>14302.047374425116</v>
      </c>
      <c r="H59">
        <v>0</v>
      </c>
      <c r="I59">
        <v>0</v>
      </c>
      <c r="J59">
        <v>0</v>
      </c>
    </row>
    <row r="60" spans="1:10" x14ac:dyDescent="0.2">
      <c r="A60" s="4">
        <v>41944</v>
      </c>
      <c r="B60">
        <v>20396.007754671449</v>
      </c>
      <c r="C60">
        <v>20396.007754671449</v>
      </c>
      <c r="D60">
        <v>17276.013610210233</v>
      </c>
      <c r="E60">
        <v>17276.013610210233</v>
      </c>
      <c r="F60">
        <v>14490.646371634852</v>
      </c>
      <c r="G60">
        <v>14490.646371634852</v>
      </c>
      <c r="H60">
        <v>0</v>
      </c>
      <c r="I60">
        <v>0</v>
      </c>
      <c r="J60">
        <v>0</v>
      </c>
    </row>
    <row r="61" spans="1:10" x14ac:dyDescent="0.2">
      <c r="A61" s="4">
        <v>41974</v>
      </c>
      <c r="B61">
        <v>20285.860467683993</v>
      </c>
      <c r="C61">
        <v>20396.007754671449</v>
      </c>
      <c r="D61">
        <v>17190.787957357505</v>
      </c>
      <c r="E61">
        <v>17276.013610210233</v>
      </c>
      <c r="F61">
        <v>14425.932266076927</v>
      </c>
      <c r="G61">
        <v>14490.646371634852</v>
      </c>
      <c r="H61">
        <v>-5.4004336688010524E-3</v>
      </c>
      <c r="I61">
        <v>-4.9331781495216553E-3</v>
      </c>
      <c r="J61">
        <v>-4.4659226302424804E-3</v>
      </c>
    </row>
    <row r="62" spans="1:10" x14ac:dyDescent="0.2">
      <c r="A62" s="4">
        <v>42005</v>
      </c>
      <c r="B62">
        <v>19942.690205349503</v>
      </c>
      <c r="C62">
        <v>20396.007754671449</v>
      </c>
      <c r="D62">
        <v>17174.246757273104</v>
      </c>
      <c r="E62">
        <v>17276.013610210233</v>
      </c>
      <c r="F62">
        <v>14642.210112154904</v>
      </c>
      <c r="G62">
        <v>14642.210112154904</v>
      </c>
      <c r="H62">
        <v>-2.2225798047077139E-2</v>
      </c>
      <c r="I62">
        <v>-5.890644406356782E-3</v>
      </c>
      <c r="J62">
        <v>0</v>
      </c>
    </row>
    <row r="63" spans="1:10" x14ac:dyDescent="0.2">
      <c r="A63" s="4">
        <v>42036</v>
      </c>
      <c r="B63">
        <v>20942.406867433991</v>
      </c>
      <c r="C63">
        <v>20942.406867433991</v>
      </c>
      <c r="D63">
        <v>17661.81734653021</v>
      </c>
      <c r="E63">
        <v>17661.81734653021</v>
      </c>
      <c r="F63">
        <v>14739.577741954241</v>
      </c>
      <c r="G63">
        <v>14739.577741954241</v>
      </c>
      <c r="H63">
        <v>0</v>
      </c>
      <c r="I63">
        <v>0</v>
      </c>
      <c r="J63">
        <v>0</v>
      </c>
    </row>
    <row r="64" spans="1:10" x14ac:dyDescent="0.2">
      <c r="A64" s="4">
        <v>42064</v>
      </c>
      <c r="B64">
        <v>20648.558856753472</v>
      </c>
      <c r="C64">
        <v>20942.406867433991</v>
      </c>
      <c r="D64">
        <v>17529.582324603929</v>
      </c>
      <c r="E64">
        <v>17661.81734653021</v>
      </c>
      <c r="F64">
        <v>14725.680248045785</v>
      </c>
      <c r="G64">
        <v>14739.577741954241</v>
      </c>
      <c r="H64">
        <v>-1.4031243521367198E-2</v>
      </c>
      <c r="I64">
        <v>-7.4870563618562036E-3</v>
      </c>
      <c r="J64">
        <v>-9.4286920234487592E-4</v>
      </c>
    </row>
    <row r="65" spans="1:10" x14ac:dyDescent="0.2">
      <c r="A65" s="4">
        <v>42095</v>
      </c>
      <c r="B65">
        <v>20843.204068555602</v>
      </c>
      <c r="C65">
        <v>20942.406867433991</v>
      </c>
      <c r="D65">
        <v>17618.684947699971</v>
      </c>
      <c r="E65">
        <v>17661.81734653021</v>
      </c>
      <c r="F65">
        <v>14736.56835798358</v>
      </c>
      <c r="G65">
        <v>14739.577741954241</v>
      </c>
      <c r="H65">
        <v>-4.736933987881331E-3</v>
      </c>
      <c r="I65">
        <v>-2.4421268765251192E-3</v>
      </c>
      <c r="J65">
        <v>-2.0417029736852221E-4</v>
      </c>
    </row>
    <row r="66" spans="1:10" x14ac:dyDescent="0.2">
      <c r="A66" s="4">
        <v>42125</v>
      </c>
      <c r="B66">
        <v>21077.014102292575</v>
      </c>
      <c r="C66">
        <v>21077.014102292575</v>
      </c>
      <c r="D66">
        <v>17723.406798090244</v>
      </c>
      <c r="E66">
        <v>17723.406798090244</v>
      </c>
      <c r="F66">
        <v>14746.442198978835</v>
      </c>
      <c r="G66">
        <v>14746.442198978835</v>
      </c>
      <c r="H66">
        <v>0</v>
      </c>
      <c r="I66">
        <v>0</v>
      </c>
      <c r="J66">
        <v>0</v>
      </c>
    </row>
    <row r="67" spans="1:10" x14ac:dyDescent="0.2">
      <c r="A67" s="4">
        <v>42156</v>
      </c>
      <c r="B67">
        <v>20654.598039877474</v>
      </c>
      <c r="C67">
        <v>21077.014102292575</v>
      </c>
      <c r="D67">
        <v>17420.245880515275</v>
      </c>
      <c r="E67">
        <v>17723.406798090244</v>
      </c>
      <c r="F67">
        <v>14537.504589461656</v>
      </c>
      <c r="G67">
        <v>14746.442198978835</v>
      </c>
      <c r="H67">
        <v>-2.00415514439094E-2</v>
      </c>
      <c r="I67">
        <v>-1.7105115344282162E-2</v>
      </c>
      <c r="J67">
        <v>-1.4168679244655258E-2</v>
      </c>
    </row>
    <row r="68" spans="1:10" x14ac:dyDescent="0.2">
      <c r="A68" s="4">
        <v>42186</v>
      </c>
      <c r="B68">
        <v>21072.026127080419</v>
      </c>
      <c r="C68">
        <v>21077.014102292575</v>
      </c>
      <c r="D68">
        <v>17706.366816686921</v>
      </c>
      <c r="E68">
        <v>17723.406798090244</v>
      </c>
      <c r="F68">
        <v>14721.248570374673</v>
      </c>
      <c r="G68">
        <v>14746.442198978835</v>
      </c>
      <c r="H68">
        <v>-2.3665473619494115E-4</v>
      </c>
      <c r="I68">
        <v>-9.6143938902082393E-4</v>
      </c>
      <c r="J68">
        <v>-1.7084547082079071E-3</v>
      </c>
    </row>
    <row r="69" spans="1:10" x14ac:dyDescent="0.2">
      <c r="A69" s="4">
        <v>42217</v>
      </c>
      <c r="B69">
        <v>19909.950248985449</v>
      </c>
      <c r="C69">
        <v>21077.014102292575</v>
      </c>
      <c r="D69">
        <v>17039.751351886993</v>
      </c>
      <c r="E69">
        <v>17723.406798090244</v>
      </c>
      <c r="F69">
        <v>14424.631652466936</v>
      </c>
      <c r="G69">
        <v>14746.442198978835</v>
      </c>
      <c r="H69">
        <v>-5.5371403541461861E-2</v>
      </c>
      <c r="I69">
        <v>-3.857359107036451E-2</v>
      </c>
      <c r="J69">
        <v>-2.1822928009997078E-2</v>
      </c>
    </row>
    <row r="70" spans="1:10" x14ac:dyDescent="0.2">
      <c r="A70" s="4">
        <v>42248</v>
      </c>
      <c r="B70">
        <v>19314.016216716573</v>
      </c>
      <c r="C70">
        <v>21077.014102292575</v>
      </c>
      <c r="D70">
        <v>16745.943696555929</v>
      </c>
      <c r="E70">
        <v>17723.406798090244</v>
      </c>
      <c r="F70">
        <v>14358.94906166172</v>
      </c>
      <c r="G70">
        <v>14746.442198978835</v>
      </c>
      <c r="H70">
        <v>-8.3645523840316538E-2</v>
      </c>
      <c r="I70">
        <v>-5.5150971405770521E-2</v>
      </c>
      <c r="J70">
        <v>-2.6277059380733103E-2</v>
      </c>
    </row>
    <row r="71" spans="1:10" x14ac:dyDescent="0.2">
      <c r="A71" s="4">
        <v>42278</v>
      </c>
      <c r="B71">
        <v>20785.585849111649</v>
      </c>
      <c r="C71">
        <v>21077.014102292575</v>
      </c>
      <c r="D71">
        <v>17598.384672684926</v>
      </c>
      <c r="E71">
        <v>17723.406798090244</v>
      </c>
      <c r="F71">
        <v>14726.780154075735</v>
      </c>
      <c r="G71">
        <v>14746.442198978835</v>
      </c>
      <c r="H71">
        <v>-1.3826828210416475E-2</v>
      </c>
      <c r="I71">
        <v>-7.0540684886152283E-3</v>
      </c>
      <c r="J71">
        <v>-1.3333416045574475E-3</v>
      </c>
    </row>
    <row r="72" spans="1:10" x14ac:dyDescent="0.2">
      <c r="A72" s="4">
        <v>42309</v>
      </c>
      <c r="B72">
        <v>20889.802453878026</v>
      </c>
      <c r="C72">
        <v>21077.014102292575</v>
      </c>
      <c r="D72">
        <v>17634.030252531888</v>
      </c>
      <c r="E72">
        <v>17723.406798090244</v>
      </c>
      <c r="F72">
        <v>14712.599996943536</v>
      </c>
      <c r="G72">
        <v>14746.442198978835</v>
      </c>
      <c r="H72">
        <v>-8.8822661267843328E-3</v>
      </c>
      <c r="I72">
        <v>-5.0428535877191649E-3</v>
      </c>
      <c r="J72">
        <v>-2.2949401339424913E-3</v>
      </c>
    </row>
    <row r="73" spans="1:10" x14ac:dyDescent="0.2">
      <c r="A73" s="4">
        <v>42339</v>
      </c>
      <c r="B73">
        <v>20376.782418865077</v>
      </c>
      <c r="C73">
        <v>21077.014102292575</v>
      </c>
      <c r="D73">
        <v>17318.11724362359</v>
      </c>
      <c r="E73">
        <v>17723.406798090244</v>
      </c>
      <c r="F73">
        <v>14546.766464792114</v>
      </c>
      <c r="G73">
        <v>14746.442198978835</v>
      </c>
      <c r="H73">
        <v>-3.3222527632665533E-2</v>
      </c>
      <c r="I73">
        <v>-2.2867474582275227E-2</v>
      </c>
      <c r="J73">
        <v>-1.3540603997386436E-2</v>
      </c>
    </row>
    <row r="74" spans="1:10" x14ac:dyDescent="0.2">
      <c r="A74" s="4">
        <v>42370</v>
      </c>
      <c r="B74">
        <v>19460.673287035628</v>
      </c>
      <c r="C74">
        <v>21077.014102292575</v>
      </c>
      <c r="D74">
        <v>16896.83059079164</v>
      </c>
      <c r="E74">
        <v>17723.406798090244</v>
      </c>
      <c r="F74">
        <v>14493.027365628483</v>
      </c>
      <c r="G74">
        <v>14746.442198978835</v>
      </c>
      <c r="H74">
        <v>-7.6687371722218178E-2</v>
      </c>
      <c r="I74">
        <v>-4.6637546421812615E-2</v>
      </c>
      <c r="J74">
        <v>-1.7184811762114505E-2</v>
      </c>
    </row>
    <row r="75" spans="1:10" x14ac:dyDescent="0.2">
      <c r="A75" s="4">
        <v>42401</v>
      </c>
      <c r="B75">
        <v>19470.966775401335</v>
      </c>
      <c r="C75">
        <v>21077.014102292575</v>
      </c>
      <c r="D75">
        <v>16938.657357522592</v>
      </c>
      <c r="E75">
        <v>17723.406798090244</v>
      </c>
      <c r="F75">
        <v>14557.11413786397</v>
      </c>
      <c r="G75">
        <v>14746.442198978835</v>
      </c>
      <c r="H75">
        <v>-7.6198996646140049E-2</v>
      </c>
      <c r="I75">
        <v>-4.4277573127318282E-2</v>
      </c>
      <c r="J75">
        <v>-1.2838897583579589E-2</v>
      </c>
    </row>
    <row r="76" spans="1:10" x14ac:dyDescent="0.2">
      <c r="A76" s="4">
        <v>42430</v>
      </c>
      <c r="B76">
        <v>20646.41112712567</v>
      </c>
      <c r="C76">
        <v>21077.014102292575</v>
      </c>
      <c r="D76">
        <v>17671.675744252156</v>
      </c>
      <c r="E76">
        <v>17723.406798090244</v>
      </c>
      <c r="F76">
        <v>14938.229322440298</v>
      </c>
      <c r="G76">
        <v>14938.229322440298</v>
      </c>
      <c r="H76">
        <v>-2.0429979933451192E-2</v>
      </c>
      <c r="I76">
        <v>-2.9187985372914893E-3</v>
      </c>
      <c r="J76">
        <v>0</v>
      </c>
    </row>
    <row r="77" spans="1:10" x14ac:dyDescent="0.2">
      <c r="A77" s="4">
        <v>42461</v>
      </c>
      <c r="B77">
        <v>20865.464098045046</v>
      </c>
      <c r="C77">
        <v>21077.014102292575</v>
      </c>
      <c r="D77">
        <v>17819.402785000508</v>
      </c>
      <c r="E77">
        <v>17819.402785000508</v>
      </c>
      <c r="F77">
        <v>15029.492037689281</v>
      </c>
      <c r="G77">
        <v>15029.492037689281</v>
      </c>
      <c r="H77">
        <v>-1.0037000650130912E-2</v>
      </c>
      <c r="I77">
        <v>0</v>
      </c>
      <c r="J77">
        <v>0</v>
      </c>
    </row>
    <row r="78" spans="1:10" x14ac:dyDescent="0.2">
      <c r="A78" s="4">
        <v>42491</v>
      </c>
      <c r="B78">
        <v>21191.25492982502</v>
      </c>
      <c r="C78">
        <v>21191.25492982502</v>
      </c>
      <c r="D78">
        <v>18004.889451000956</v>
      </c>
      <c r="E78">
        <v>18004.889451000956</v>
      </c>
      <c r="F78">
        <v>15107.714927743091</v>
      </c>
      <c r="G78">
        <v>15107.714927743091</v>
      </c>
      <c r="H78">
        <v>0</v>
      </c>
      <c r="I78">
        <v>0</v>
      </c>
      <c r="J78">
        <v>0</v>
      </c>
    </row>
    <row r="79" spans="1:10" x14ac:dyDescent="0.2">
      <c r="A79" s="4">
        <v>42522</v>
      </c>
      <c r="B79">
        <v>21200.666938630333</v>
      </c>
      <c r="C79">
        <v>21200.666938630333</v>
      </c>
      <c r="D79">
        <v>18131.349170502064</v>
      </c>
      <c r="E79">
        <v>18131.349170502064</v>
      </c>
      <c r="F79">
        <v>15313.226961275082</v>
      </c>
      <c r="G79">
        <v>15313.226961275082</v>
      </c>
      <c r="H79">
        <v>0</v>
      </c>
      <c r="I79">
        <v>0</v>
      </c>
      <c r="J79">
        <v>0</v>
      </c>
    </row>
    <row r="80" spans="1:10" x14ac:dyDescent="0.2">
      <c r="A80" s="4">
        <v>42552</v>
      </c>
      <c r="B80">
        <v>22059.864822077117</v>
      </c>
      <c r="C80">
        <v>22059.864822077117</v>
      </c>
      <c r="D80">
        <v>18658.229644411356</v>
      </c>
      <c r="E80">
        <v>18658.229644411356</v>
      </c>
      <c r="F80">
        <v>15582.605752984586</v>
      </c>
      <c r="G80">
        <v>15582.605752984586</v>
      </c>
      <c r="H80">
        <v>0</v>
      </c>
      <c r="I80">
        <v>0</v>
      </c>
      <c r="J80">
        <v>0</v>
      </c>
    </row>
    <row r="81" spans="1:10" x14ac:dyDescent="0.2">
      <c r="A81" s="4">
        <v>42583</v>
      </c>
      <c r="B81">
        <v>22094.615200071734</v>
      </c>
      <c r="C81">
        <v>22094.615200071734</v>
      </c>
      <c r="D81">
        <v>18658.412828352597</v>
      </c>
      <c r="E81">
        <v>18658.412828352597</v>
      </c>
      <c r="F81">
        <v>15558.364822220152</v>
      </c>
      <c r="G81">
        <v>15582.605752984586</v>
      </c>
      <c r="H81">
        <v>0</v>
      </c>
      <c r="I81">
        <v>0</v>
      </c>
      <c r="J81">
        <v>-1.5556403818912656E-3</v>
      </c>
    </row>
    <row r="82" spans="1:10" x14ac:dyDescent="0.2">
      <c r="A82" s="4">
        <v>42614</v>
      </c>
      <c r="B82">
        <v>22040.857710079483</v>
      </c>
      <c r="C82">
        <v>22094.615200071734</v>
      </c>
      <c r="D82">
        <v>18634.963480890783</v>
      </c>
      <c r="E82">
        <v>18658.412828352597</v>
      </c>
      <c r="F82">
        <v>15557.112637448645</v>
      </c>
      <c r="G82">
        <v>15582.605752984586</v>
      </c>
      <c r="H82">
        <v>-2.4330584400527044E-3</v>
      </c>
      <c r="I82">
        <v>-1.2567707488057023E-3</v>
      </c>
      <c r="J82">
        <v>-1.6359982367556425E-3</v>
      </c>
    </row>
    <row r="83" spans="1:10" x14ac:dyDescent="0.2">
      <c r="A83" s="4">
        <v>42644</v>
      </c>
      <c r="B83">
        <v>21678.810926118018</v>
      </c>
      <c r="C83">
        <v>22094.615200071734</v>
      </c>
      <c r="D83">
        <v>18372.616355241851</v>
      </c>
      <c r="E83">
        <v>18658.412828352597</v>
      </c>
      <c r="F83">
        <v>15374.62342422648</v>
      </c>
      <c r="G83">
        <v>15582.605752984586</v>
      </c>
      <c r="H83">
        <v>-1.8819258456801102E-2</v>
      </c>
      <c r="I83">
        <v>-1.5317298193577411E-2</v>
      </c>
      <c r="J83">
        <v>-1.3347082770047591E-2</v>
      </c>
    </row>
    <row r="84" spans="1:10" x14ac:dyDescent="0.2">
      <c r="A84" s="4">
        <v>42675</v>
      </c>
      <c r="B84">
        <v>22500.043946246424</v>
      </c>
      <c r="C84">
        <v>22500.043946246424</v>
      </c>
      <c r="D84">
        <v>18679.032327921374</v>
      </c>
      <c r="E84">
        <v>18679.032327921374</v>
      </c>
      <c r="F84">
        <v>15305.036276941184</v>
      </c>
      <c r="G84">
        <v>15582.605752984586</v>
      </c>
      <c r="H84">
        <v>0</v>
      </c>
      <c r="I84">
        <v>0</v>
      </c>
      <c r="J84">
        <v>-1.7812776659015372E-2</v>
      </c>
    </row>
    <row r="85" spans="1:10" x14ac:dyDescent="0.2">
      <c r="A85" s="4">
        <v>42705</v>
      </c>
      <c r="B85">
        <v>22774.620081486755</v>
      </c>
      <c r="C85">
        <v>22774.620081486755</v>
      </c>
      <c r="D85">
        <v>18835.032184411626</v>
      </c>
      <c r="E85">
        <v>18835.032184411626</v>
      </c>
      <c r="F85">
        <v>15373.906574198389</v>
      </c>
      <c r="G85">
        <v>15582.605752984586</v>
      </c>
      <c r="H85">
        <v>0</v>
      </c>
      <c r="I85">
        <v>0</v>
      </c>
      <c r="J85">
        <v>-1.3393085989243159E-2</v>
      </c>
    </row>
    <row r="86" spans="1:10" x14ac:dyDescent="0.2">
      <c r="A86" s="4">
        <v>42736</v>
      </c>
      <c r="B86">
        <v>23299.784642194099</v>
      </c>
      <c r="C86">
        <v>23299.784642194099</v>
      </c>
      <c r="D86">
        <v>19165.242240099193</v>
      </c>
      <c r="E86">
        <v>19165.242240099193</v>
      </c>
      <c r="F86">
        <v>15558.457868169386</v>
      </c>
      <c r="G86">
        <v>15582.605752984586</v>
      </c>
      <c r="H86">
        <v>0</v>
      </c>
      <c r="I86">
        <v>0</v>
      </c>
      <c r="J86">
        <v>-1.5496692400482903E-3</v>
      </c>
    </row>
    <row r="87" spans="1:10" x14ac:dyDescent="0.2">
      <c r="A87" s="4">
        <v>42767</v>
      </c>
      <c r="B87">
        <v>24084.745453326832</v>
      </c>
      <c r="C87">
        <v>24084.745453326832</v>
      </c>
      <c r="D87">
        <v>19621.382110569055</v>
      </c>
      <c r="E87">
        <v>19621.382110569055</v>
      </c>
      <c r="F87">
        <v>15774.893518460782</v>
      </c>
      <c r="G87">
        <v>15774.893518460782</v>
      </c>
      <c r="H87">
        <v>0</v>
      </c>
      <c r="I87">
        <v>0</v>
      </c>
      <c r="J87">
        <v>0</v>
      </c>
    </row>
    <row r="88" spans="1:10" x14ac:dyDescent="0.2">
      <c r="A88" s="4">
        <v>42795</v>
      </c>
      <c r="B88">
        <v>24000.056078660091</v>
      </c>
      <c r="C88">
        <v>24084.745453326832</v>
      </c>
      <c r="D88">
        <v>19574.337583758974</v>
      </c>
      <c r="E88">
        <v>19621.382110569055</v>
      </c>
      <c r="F88">
        <v>15754.71864371952</v>
      </c>
      <c r="G88">
        <v>15774.893518460782</v>
      </c>
      <c r="H88">
        <v>-3.5163076492071843E-3</v>
      </c>
      <c r="I88">
        <v>-2.3976153435563141E-3</v>
      </c>
      <c r="J88">
        <v>-1.2789230379052219E-3</v>
      </c>
    </row>
    <row r="89" spans="1:10" x14ac:dyDescent="0.2">
      <c r="A89" s="4">
        <v>42826</v>
      </c>
      <c r="B89">
        <v>24345.572990690089</v>
      </c>
      <c r="C89">
        <v>24345.572990690089</v>
      </c>
      <c r="D89">
        <v>19812.396217222893</v>
      </c>
      <c r="E89">
        <v>19812.396217222893</v>
      </c>
      <c r="F89">
        <v>15911.116364554966</v>
      </c>
      <c r="G89">
        <v>15911.116364554966</v>
      </c>
      <c r="H89">
        <v>0</v>
      </c>
      <c r="I89">
        <v>0</v>
      </c>
      <c r="J89">
        <v>0</v>
      </c>
    </row>
    <row r="90" spans="1:10" x14ac:dyDescent="0.2">
      <c r="A90" s="4">
        <v>42856</v>
      </c>
      <c r="B90">
        <v>24584.983648362086</v>
      </c>
      <c r="C90">
        <v>24584.983648362086</v>
      </c>
      <c r="D90">
        <v>19989.546671147182</v>
      </c>
      <c r="E90">
        <v>19989.546671147182</v>
      </c>
      <c r="F90">
        <v>16039.184011115203</v>
      </c>
      <c r="G90">
        <v>16039.184011115203</v>
      </c>
      <c r="H90">
        <v>0</v>
      </c>
      <c r="I90">
        <v>0</v>
      </c>
      <c r="J90">
        <v>0</v>
      </c>
    </row>
    <row r="91" spans="1:10" x14ac:dyDescent="0.2">
      <c r="A91" s="4">
        <v>42887</v>
      </c>
      <c r="B91">
        <v>24692.999787772278</v>
      </c>
      <c r="C91">
        <v>24692.999787772278</v>
      </c>
      <c r="D91">
        <v>20051.253555244926</v>
      </c>
      <c r="E91">
        <v>20051.253555244926</v>
      </c>
      <c r="F91">
        <v>16067.739106092065</v>
      </c>
      <c r="G91">
        <v>16067.739106092065</v>
      </c>
      <c r="H91">
        <v>0</v>
      </c>
      <c r="I91">
        <v>0</v>
      </c>
      <c r="J91">
        <v>0</v>
      </c>
    </row>
    <row r="92" spans="1:10" x14ac:dyDescent="0.2">
      <c r="A92" s="4">
        <v>42917</v>
      </c>
      <c r="B92">
        <v>25224.835027523019</v>
      </c>
      <c r="C92">
        <v>25224.835027523019</v>
      </c>
      <c r="D92">
        <v>20366.588428658935</v>
      </c>
      <c r="E92">
        <v>20366.588428658935</v>
      </c>
      <c r="F92">
        <v>16227.050556328521</v>
      </c>
      <c r="G92">
        <v>16227.050556328521</v>
      </c>
      <c r="H92">
        <v>0</v>
      </c>
      <c r="I92">
        <v>0</v>
      </c>
      <c r="J92">
        <v>0</v>
      </c>
    </row>
    <row r="93" spans="1:10" x14ac:dyDescent="0.2">
      <c r="A93" s="4">
        <v>42948</v>
      </c>
      <c r="B93">
        <v>25286.647498647013</v>
      </c>
      <c r="C93">
        <v>25286.647498647013</v>
      </c>
      <c r="D93">
        <v>20472.42262119638</v>
      </c>
      <c r="E93">
        <v>20472.42262119638</v>
      </c>
      <c r="F93">
        <v>16355.933290705672</v>
      </c>
      <c r="G93">
        <v>16355.933290705672</v>
      </c>
      <c r="H93">
        <v>0</v>
      </c>
      <c r="I93">
        <v>0</v>
      </c>
      <c r="J93">
        <v>0</v>
      </c>
    </row>
    <row r="94" spans="1:10" x14ac:dyDescent="0.2">
      <c r="A94" s="4">
        <v>42979</v>
      </c>
      <c r="B94">
        <v>25735.491073663761</v>
      </c>
      <c r="C94">
        <v>25735.491073663761</v>
      </c>
      <c r="D94">
        <v>20696.640582935048</v>
      </c>
      <c r="E94">
        <v>20696.640582935048</v>
      </c>
      <c r="F94">
        <v>16423.878601225773</v>
      </c>
      <c r="G94">
        <v>16423.878601225773</v>
      </c>
      <c r="H94">
        <v>0</v>
      </c>
      <c r="I94">
        <v>0</v>
      </c>
      <c r="J94">
        <v>0</v>
      </c>
    </row>
    <row r="95" spans="1:10" x14ac:dyDescent="0.2">
      <c r="A95" s="4">
        <v>43009</v>
      </c>
      <c r="B95">
        <v>26338.663797361129</v>
      </c>
      <c r="C95">
        <v>26338.663797361129</v>
      </c>
      <c r="D95">
        <v>21017.872535174924</v>
      </c>
      <c r="E95">
        <v>21017.872535174924</v>
      </c>
      <c r="F95">
        <v>16548.774841624316</v>
      </c>
      <c r="G95">
        <v>16548.774841624316</v>
      </c>
      <c r="H95">
        <v>0</v>
      </c>
      <c r="I95">
        <v>0</v>
      </c>
      <c r="J95">
        <v>0</v>
      </c>
    </row>
    <row r="96" spans="1:10" x14ac:dyDescent="0.2">
      <c r="A96" s="4">
        <v>43040</v>
      </c>
      <c r="B96">
        <v>27054.610199993142</v>
      </c>
      <c r="C96">
        <v>27054.610199993142</v>
      </c>
      <c r="D96">
        <v>21391.099495641356</v>
      </c>
      <c r="E96">
        <v>21391.099495641356</v>
      </c>
      <c r="F96">
        <v>16686.67351557182</v>
      </c>
      <c r="G96">
        <v>16686.67351557182</v>
      </c>
      <c r="H96">
        <v>0</v>
      </c>
      <c r="I96">
        <v>0</v>
      </c>
      <c r="J96">
        <v>0</v>
      </c>
    </row>
    <row r="97" spans="1:10" x14ac:dyDescent="0.2">
      <c r="A97" s="4">
        <v>43070</v>
      </c>
      <c r="B97">
        <v>27225.507583710245</v>
      </c>
      <c r="C97">
        <v>27225.507583710245</v>
      </c>
      <c r="D97">
        <v>21502.336126539896</v>
      </c>
      <c r="E97">
        <v>21502.336126539896</v>
      </c>
      <c r="F97">
        <v>16754.81381296413</v>
      </c>
      <c r="G97">
        <v>16754.81381296413</v>
      </c>
      <c r="H97">
        <v>0</v>
      </c>
      <c r="I97">
        <v>0</v>
      </c>
      <c r="J97">
        <v>0</v>
      </c>
    </row>
    <row r="98" spans="1:10" x14ac:dyDescent="0.2">
      <c r="A98" s="4">
        <v>43101</v>
      </c>
      <c r="B98">
        <v>28612.623299660903</v>
      </c>
      <c r="C98">
        <v>28612.623299660903</v>
      </c>
      <c r="D98">
        <v>22176.891075611198</v>
      </c>
      <c r="E98">
        <v>22176.891075611198</v>
      </c>
      <c r="F98">
        <v>16952.409328155689</v>
      </c>
      <c r="G98">
        <v>16952.409328155689</v>
      </c>
      <c r="H98">
        <v>0</v>
      </c>
      <c r="I98">
        <v>0</v>
      </c>
      <c r="J98">
        <v>0</v>
      </c>
    </row>
    <row r="99" spans="1:10" x14ac:dyDescent="0.2">
      <c r="A99" s="4">
        <v>43132</v>
      </c>
      <c r="B99">
        <v>27607.89497457413</v>
      </c>
      <c r="C99">
        <v>28612.623299660903</v>
      </c>
      <c r="D99">
        <v>21564.936899932971</v>
      </c>
      <c r="E99">
        <v>22176.891075611198</v>
      </c>
      <c r="F99">
        <v>16612.113569673307</v>
      </c>
      <c r="G99">
        <v>16952.409328155689</v>
      </c>
      <c r="H99">
        <v>-3.5114862225816279E-2</v>
      </c>
      <c r="I99">
        <v>-2.7594227414103889E-2</v>
      </c>
      <c r="J99">
        <v>-2.0073592602391721E-2</v>
      </c>
    </row>
    <row r="100" spans="1:10" x14ac:dyDescent="0.2">
      <c r="A100" s="4">
        <v>43160</v>
      </c>
      <c r="B100">
        <v>27041.152792508434</v>
      </c>
      <c r="C100">
        <v>28612.623299660903</v>
      </c>
      <c r="D100">
        <v>21320.069671686233</v>
      </c>
      <c r="E100">
        <v>22176.891075611198</v>
      </c>
      <c r="F100">
        <v>16575.874391155121</v>
      </c>
      <c r="G100">
        <v>16952.409328155689</v>
      </c>
      <c r="H100">
        <v>-5.4922279956451714E-2</v>
      </c>
      <c r="I100">
        <v>-3.8635776358537766E-2</v>
      </c>
      <c r="J100">
        <v>-2.2211293374989061E-2</v>
      </c>
    </row>
    <row r="101" spans="1:10" x14ac:dyDescent="0.2">
      <c r="A101" s="4">
        <v>43191</v>
      </c>
      <c r="B101">
        <v>27224.317117411232</v>
      </c>
      <c r="C101">
        <v>28612.623299660903</v>
      </c>
      <c r="D101">
        <v>21352.421364598238</v>
      </c>
      <c r="E101">
        <v>22176.891075611198</v>
      </c>
      <c r="F101">
        <v>16513.902472527254</v>
      </c>
      <c r="G101">
        <v>16952.409328155689</v>
      </c>
      <c r="H101">
        <v>-4.8520758397784691E-2</v>
      </c>
      <c r="I101">
        <v>-3.7176974364980353E-2</v>
      </c>
      <c r="J101">
        <v>-2.586693414133967E-2</v>
      </c>
    </row>
    <row r="102" spans="1:10" x14ac:dyDescent="0.2">
      <c r="A102" s="4">
        <v>43221</v>
      </c>
      <c r="B102">
        <v>27911.47703404614</v>
      </c>
      <c r="C102">
        <v>28612.623299660903</v>
      </c>
      <c r="D102">
        <v>21761.588583729994</v>
      </c>
      <c r="E102">
        <v>22176.891075611198</v>
      </c>
      <c r="F102">
        <v>16729.978109968168</v>
      </c>
      <c r="G102">
        <v>16952.409328155689</v>
      </c>
      <c r="H102">
        <v>-2.450478791376931E-2</v>
      </c>
      <c r="I102">
        <v>-1.8726812990389252E-2</v>
      </c>
      <c r="J102">
        <v>-1.3120920683415305E-2</v>
      </c>
    </row>
    <row r="103" spans="1:10" x14ac:dyDescent="0.2">
      <c r="A103" s="4">
        <v>43252</v>
      </c>
      <c r="B103">
        <v>27979.059067261853</v>
      </c>
      <c r="C103">
        <v>28612.623299660903</v>
      </c>
      <c r="D103">
        <v>21793.275015027495</v>
      </c>
      <c r="E103">
        <v>22176.891075611198</v>
      </c>
      <c r="F103">
        <v>16738.189921911762</v>
      </c>
      <c r="G103">
        <v>16952.409328155689</v>
      </c>
      <c r="H103">
        <v>-2.214282226986708E-2</v>
      </c>
      <c r="I103">
        <v>-1.7298008962382538E-2</v>
      </c>
      <c r="J103">
        <v>-1.2636516857113422E-2</v>
      </c>
    </row>
    <row r="104" spans="1:10" x14ac:dyDescent="0.2">
      <c r="A104" s="4">
        <v>43282</v>
      </c>
      <c r="B104">
        <v>28930.955311434187</v>
      </c>
      <c r="C104">
        <v>28930.955311434187</v>
      </c>
      <c r="D104">
        <v>22302.512039984042</v>
      </c>
      <c r="E104">
        <v>22302.512039984042</v>
      </c>
      <c r="F104">
        <v>16950.960280786432</v>
      </c>
      <c r="G104">
        <v>16952.409328155689</v>
      </c>
      <c r="H104">
        <v>0</v>
      </c>
      <c r="I104">
        <v>0</v>
      </c>
      <c r="J104">
        <v>-8.5477370278530529E-5</v>
      </c>
    </row>
    <row r="105" spans="1:10" x14ac:dyDescent="0.2">
      <c r="A105" s="4">
        <v>43313</v>
      </c>
      <c r="B105">
        <v>29844.584794011524</v>
      </c>
      <c r="C105">
        <v>29844.584794011524</v>
      </c>
      <c r="D105">
        <v>22821.344177418443</v>
      </c>
      <c r="E105">
        <v>22821.344177418443</v>
      </c>
      <c r="F105">
        <v>17204.328619331045</v>
      </c>
      <c r="G105">
        <v>17204.328619331045</v>
      </c>
      <c r="H105">
        <v>0</v>
      </c>
      <c r="I105">
        <v>0</v>
      </c>
      <c r="J105">
        <v>0</v>
      </c>
    </row>
    <row r="106" spans="1:10" x14ac:dyDescent="0.2">
      <c r="A106" s="4">
        <v>43344</v>
      </c>
      <c r="B106">
        <v>29751.683262115919</v>
      </c>
      <c r="C106">
        <v>29844.584794011524</v>
      </c>
      <c r="D106">
        <v>22732.226655847804</v>
      </c>
      <c r="E106">
        <v>22821.344177418443</v>
      </c>
      <c r="F106">
        <v>17123.516940983947</v>
      </c>
      <c r="G106">
        <v>17204.328619331045</v>
      </c>
      <c r="H106">
        <v>-3.1128438387336699E-3</v>
      </c>
      <c r="I106">
        <v>-3.9050075612470092E-3</v>
      </c>
      <c r="J106">
        <v>-4.6971712837603485E-3</v>
      </c>
    </row>
    <row r="107" spans="1:10" x14ac:dyDescent="0.2">
      <c r="A107" s="4">
        <v>43374</v>
      </c>
      <c r="B107">
        <v>27859.714867225124</v>
      </c>
      <c r="C107">
        <v>29844.584794011524</v>
      </c>
      <c r="D107">
        <v>21702.777560740884</v>
      </c>
      <c r="E107">
        <v>22821.344177418443</v>
      </c>
      <c r="F107">
        <v>16661.527879807654</v>
      </c>
      <c r="G107">
        <v>17204.328619331045</v>
      </c>
      <c r="H107">
        <v>-6.6506870190557121E-2</v>
      </c>
      <c r="I107">
        <v>-4.9014054911996507E-2</v>
      </c>
      <c r="J107">
        <v>-3.1550242472902501E-2</v>
      </c>
    </row>
    <row r="108" spans="1:10" x14ac:dyDescent="0.2">
      <c r="A108" s="4">
        <v>43405</v>
      </c>
      <c r="B108">
        <v>28383.580974440469</v>
      </c>
      <c r="C108">
        <v>29844.584794011524</v>
      </c>
      <c r="D108">
        <v>22019.72269035556</v>
      </c>
      <c r="E108">
        <v>22821.344177418443</v>
      </c>
      <c r="F108">
        <v>16834.875753055563</v>
      </c>
      <c r="G108">
        <v>17204.328619331045</v>
      </c>
      <c r="H108">
        <v>-4.895373246620649E-2</v>
      </c>
      <c r="I108">
        <v>-3.5125954055593378E-2</v>
      </c>
      <c r="J108">
        <v>-2.147441347175616E-2</v>
      </c>
    </row>
    <row r="109" spans="1:10" x14ac:dyDescent="0.2">
      <c r="A109" s="4">
        <v>43435</v>
      </c>
      <c r="B109">
        <v>25948.937181847086</v>
      </c>
      <c r="C109">
        <v>29844.584794011524</v>
      </c>
      <c r="D109">
        <v>20880.067104597296</v>
      </c>
      <c r="E109">
        <v>22821.344177418443</v>
      </c>
      <c r="F109">
        <v>16536.29624342762</v>
      </c>
      <c r="G109">
        <v>17204.328619331045</v>
      </c>
      <c r="H109">
        <v>-0.13053113786143611</v>
      </c>
      <c r="I109">
        <v>-8.5064098666985055E-2</v>
      </c>
      <c r="J109">
        <v>-3.8829319683699515E-2</v>
      </c>
    </row>
    <row r="110" spans="1:10" x14ac:dyDescent="0.2">
      <c r="A110" s="4">
        <v>43466</v>
      </c>
      <c r="B110">
        <v>28134.132447527212</v>
      </c>
      <c r="C110">
        <v>29844.584794011524</v>
      </c>
      <c r="D110">
        <v>22164.900694496722</v>
      </c>
      <c r="E110">
        <v>22821.344177418443</v>
      </c>
      <c r="F110">
        <v>17178.840441873308</v>
      </c>
      <c r="G110">
        <v>17204.328619331045</v>
      </c>
      <c r="H110">
        <v>-5.7311983339353501E-2</v>
      </c>
      <c r="I110">
        <v>-2.8764453040906579E-2</v>
      </c>
      <c r="J110">
        <v>-1.4814979428547925E-3</v>
      </c>
    </row>
    <row r="111" spans="1:10" x14ac:dyDescent="0.2">
      <c r="A111" s="4">
        <v>43497</v>
      </c>
      <c r="B111">
        <v>29026.061356308837</v>
      </c>
      <c r="C111">
        <v>29844.584794011524</v>
      </c>
      <c r="D111">
        <v>22608.475275378372</v>
      </c>
      <c r="E111">
        <v>22821.344177418443</v>
      </c>
      <c r="F111">
        <v>17321.806560646095</v>
      </c>
      <c r="G111">
        <v>17321.806560646095</v>
      </c>
      <c r="H111">
        <v>-2.7426196187756213E-2</v>
      </c>
      <c r="I111">
        <v>-9.3276233154883093E-3</v>
      </c>
      <c r="J111">
        <v>0</v>
      </c>
    </row>
    <row r="112" spans="1:10" x14ac:dyDescent="0.2">
      <c r="A112" s="4">
        <v>43525</v>
      </c>
      <c r="B112">
        <v>29311.75090607554</v>
      </c>
      <c r="C112">
        <v>29844.584794011524</v>
      </c>
      <c r="D112">
        <v>22903.843593663438</v>
      </c>
      <c r="E112">
        <v>22903.843593663438</v>
      </c>
      <c r="F112">
        <v>17603.917676541416</v>
      </c>
      <c r="G112">
        <v>17603.917676541416</v>
      </c>
      <c r="H112">
        <v>-1.7853620400941184E-2</v>
      </c>
      <c r="I112">
        <v>0</v>
      </c>
      <c r="J112">
        <v>0</v>
      </c>
    </row>
    <row r="113" spans="1:10" x14ac:dyDescent="0.2">
      <c r="A113" s="4">
        <v>43556</v>
      </c>
      <c r="B113">
        <v>30493.493342940437</v>
      </c>
      <c r="C113">
        <v>30493.493342940437</v>
      </c>
      <c r="D113">
        <v>23515.992049915141</v>
      </c>
      <c r="E113">
        <v>23515.992049915141</v>
      </c>
      <c r="F113">
        <v>17835.188056006529</v>
      </c>
      <c r="G113">
        <v>17835.188056006529</v>
      </c>
      <c r="H113">
        <v>0</v>
      </c>
      <c r="I113">
        <v>0</v>
      </c>
      <c r="J113">
        <v>0</v>
      </c>
    </row>
    <row r="114" spans="1:10" x14ac:dyDescent="0.2">
      <c r="A114" s="4">
        <v>43586</v>
      </c>
      <c r="B114">
        <v>28779.633048191863</v>
      </c>
      <c r="C114">
        <v>30493.493342940437</v>
      </c>
      <c r="D114">
        <v>22779.015356914257</v>
      </c>
      <c r="E114">
        <v>23515.992049915141</v>
      </c>
      <c r="F114">
        <v>17719.711705856578</v>
      </c>
      <c r="G114">
        <v>17835.188056006529</v>
      </c>
      <c r="H114">
        <v>-5.6204131008340208E-2</v>
      </c>
      <c r="I114">
        <v>-3.1339383490034178E-2</v>
      </c>
      <c r="J114">
        <v>-6.4746359717278157E-3</v>
      </c>
    </row>
    <row r="115" spans="1:10" x14ac:dyDescent="0.2">
      <c r="A115" s="4">
        <v>43617</v>
      </c>
      <c r="B115">
        <v>30546.424837187114</v>
      </c>
      <c r="C115">
        <v>30546.424837187114</v>
      </c>
      <c r="D115">
        <v>23806.820567206003</v>
      </c>
      <c r="E115">
        <v>23806.820567206003</v>
      </c>
      <c r="F115">
        <v>18230.944110863602</v>
      </c>
      <c r="G115">
        <v>18230.944110863602</v>
      </c>
      <c r="H115">
        <v>0</v>
      </c>
      <c r="I115">
        <v>0</v>
      </c>
      <c r="J115">
        <v>0</v>
      </c>
    </row>
    <row r="116" spans="1:10" x14ac:dyDescent="0.2">
      <c r="A116" s="4">
        <v>43647</v>
      </c>
      <c r="B116">
        <v>31041.669862575709</v>
      </c>
      <c r="C116">
        <v>31041.669862575709</v>
      </c>
      <c r="D116">
        <v>24075.738461905024</v>
      </c>
      <c r="E116">
        <v>24075.738461905024</v>
      </c>
      <c r="F116">
        <v>18347.235736075505</v>
      </c>
      <c r="G116">
        <v>18347.235736075505</v>
      </c>
      <c r="H116">
        <v>0</v>
      </c>
      <c r="I116">
        <v>0</v>
      </c>
      <c r="J116">
        <v>0</v>
      </c>
    </row>
    <row r="117" spans="1:10" x14ac:dyDescent="0.2">
      <c r="A117" s="4">
        <v>43678</v>
      </c>
      <c r="B117">
        <v>30546.654977596849</v>
      </c>
      <c r="C117">
        <v>31041.669862575709</v>
      </c>
      <c r="D117">
        <v>24042.35026343862</v>
      </c>
      <c r="E117">
        <v>24075.738461905024</v>
      </c>
      <c r="F117">
        <v>18588.927350313428</v>
      </c>
      <c r="G117">
        <v>18588.927350313428</v>
      </c>
      <c r="H117">
        <v>-1.5946786599120966E-2</v>
      </c>
      <c r="I117">
        <v>-1.386798519980359E-3</v>
      </c>
      <c r="J117">
        <v>0</v>
      </c>
    </row>
    <row r="118" spans="1:10" x14ac:dyDescent="0.2">
      <c r="A118" s="4">
        <v>43709</v>
      </c>
      <c r="B118">
        <v>30891.927081467977</v>
      </c>
      <c r="C118">
        <v>31041.669862575709</v>
      </c>
      <c r="D118">
        <v>24179.129018730309</v>
      </c>
      <c r="E118">
        <v>24179.129018730309</v>
      </c>
      <c r="F118">
        <v>18590.322355933065</v>
      </c>
      <c r="G118">
        <v>18590.322355933065</v>
      </c>
      <c r="H118">
        <v>-4.8239280222570624E-3</v>
      </c>
      <c r="I118">
        <v>0</v>
      </c>
      <c r="J118">
        <v>0</v>
      </c>
    </row>
    <row r="119" spans="1:10" x14ac:dyDescent="0.2">
      <c r="A119" s="4">
        <v>43739</v>
      </c>
      <c r="B119">
        <v>31616.554852038298</v>
      </c>
      <c r="C119">
        <v>31616.554852038298</v>
      </c>
      <c r="D119">
        <v>24582.56334697258</v>
      </c>
      <c r="E119">
        <v>24582.56334697258</v>
      </c>
      <c r="F119">
        <v>18774.619277241349</v>
      </c>
      <c r="G119">
        <v>18774.619277241349</v>
      </c>
      <c r="H119">
        <v>0</v>
      </c>
      <c r="I119">
        <v>0</v>
      </c>
      <c r="J119">
        <v>0</v>
      </c>
    </row>
    <row r="120" spans="1:10" x14ac:dyDescent="0.2">
      <c r="A120" s="4">
        <v>43770</v>
      </c>
      <c r="B120">
        <v>32693.333285397912</v>
      </c>
      <c r="C120">
        <v>32693.333285397912</v>
      </c>
      <c r="D120">
        <v>25137.209416811111</v>
      </c>
      <c r="E120">
        <v>25137.209416811111</v>
      </c>
      <c r="F120">
        <v>18982.41182247804</v>
      </c>
      <c r="G120">
        <v>18982.41182247804</v>
      </c>
      <c r="H120">
        <v>0</v>
      </c>
      <c r="I120">
        <v>0</v>
      </c>
      <c r="J120">
        <v>0</v>
      </c>
    </row>
    <row r="121" spans="1:10" x14ac:dyDescent="0.2">
      <c r="A121" s="4">
        <v>43800</v>
      </c>
      <c r="B121">
        <v>33345.811671143478</v>
      </c>
      <c r="C121">
        <v>33345.811671143478</v>
      </c>
      <c r="D121">
        <v>25446.598573041774</v>
      </c>
      <c r="E121">
        <v>25446.598573041774</v>
      </c>
      <c r="F121">
        <v>19070.841276966086</v>
      </c>
      <c r="G121">
        <v>19070.841276966086</v>
      </c>
      <c r="H121">
        <v>0</v>
      </c>
      <c r="I121">
        <v>0</v>
      </c>
      <c r="J121">
        <v>0</v>
      </c>
    </row>
    <row r="122" spans="1:10" x14ac:dyDescent="0.2">
      <c r="A122" s="4">
        <v>43831</v>
      </c>
      <c r="B122">
        <v>33569.791294137154</v>
      </c>
      <c r="C122">
        <v>33569.791294137154</v>
      </c>
      <c r="D122">
        <v>25766.542581951915</v>
      </c>
      <c r="E122">
        <v>25766.542581951915</v>
      </c>
      <c r="F122">
        <v>19422.306092680239</v>
      </c>
      <c r="G122">
        <v>19422.306092680239</v>
      </c>
      <c r="H122">
        <v>0</v>
      </c>
      <c r="I122">
        <v>0</v>
      </c>
      <c r="J122">
        <v>0</v>
      </c>
    </row>
    <row r="123" spans="1:10" x14ac:dyDescent="0.2">
      <c r="A123" s="4">
        <v>43862</v>
      </c>
      <c r="B123">
        <v>31202.992550550738</v>
      </c>
      <c r="C123">
        <v>33569.791294137154</v>
      </c>
      <c r="D123">
        <v>24680.029564028664</v>
      </c>
      <c r="E123">
        <v>25766.542581951915</v>
      </c>
      <c r="F123">
        <v>19153.669290773276</v>
      </c>
      <c r="G123">
        <v>19422.306092680239</v>
      </c>
      <c r="H123">
        <v>-7.0503826575763373E-2</v>
      </c>
      <c r="I123">
        <v>-4.2167590567012914E-2</v>
      </c>
      <c r="J123">
        <v>-1.3831354558262565E-2</v>
      </c>
    </row>
    <row r="124" spans="1:10" x14ac:dyDescent="0.2">
      <c r="A124" s="4">
        <v>43891</v>
      </c>
      <c r="B124">
        <v>27138.549793740996</v>
      </c>
      <c r="C124">
        <v>33569.791294137154</v>
      </c>
      <c r="D124">
        <v>22420.357014774127</v>
      </c>
      <c r="E124">
        <v>25766.542581951915</v>
      </c>
      <c r="F124">
        <v>18141.218134202391</v>
      </c>
      <c r="G124">
        <v>19422.306092680239</v>
      </c>
      <c r="H124">
        <v>-0.19157823901989379</v>
      </c>
      <c r="I124">
        <v>-0.12986552450857769</v>
      </c>
      <c r="J124">
        <v>-6.5959621497297727E-2</v>
      </c>
    </row>
    <row r="125" spans="1:10" x14ac:dyDescent="0.2">
      <c r="A125" s="4">
        <v>43922</v>
      </c>
      <c r="B125">
        <v>30558.886147792917</v>
      </c>
      <c r="C125">
        <v>33569.791294137154</v>
      </c>
      <c r="D125">
        <v>24508.417889912202</v>
      </c>
      <c r="E125">
        <v>25766.542581951915</v>
      </c>
      <c r="F125">
        <v>19233.906114727866</v>
      </c>
      <c r="G125">
        <v>19422.306092680239</v>
      </c>
      <c r="H125">
        <v>-8.9690910496368792E-2</v>
      </c>
      <c r="I125">
        <v>-4.8827842852341541E-2</v>
      </c>
      <c r="J125">
        <v>-9.7001858097260918E-3</v>
      </c>
    </row>
    <row r="126" spans="1:10" x14ac:dyDescent="0.2">
      <c r="A126" s="4">
        <v>43952</v>
      </c>
      <c r="B126">
        <v>32063.809614765625</v>
      </c>
      <c r="C126">
        <v>33569.791294137154</v>
      </c>
      <c r="D126">
        <v>25369.611909249517</v>
      </c>
      <c r="E126">
        <v>25766.542581951915</v>
      </c>
      <c r="F126">
        <v>19638.40926609893</v>
      </c>
      <c r="G126">
        <v>19638.40926609893</v>
      </c>
      <c r="H126">
        <v>-4.486121662706144E-2</v>
      </c>
      <c r="I126">
        <v>-1.5404886838811915E-2</v>
      </c>
      <c r="J126">
        <v>0</v>
      </c>
    </row>
    <row r="127" spans="1:10" x14ac:dyDescent="0.2">
      <c r="A127" s="4">
        <v>43983</v>
      </c>
      <c r="B127">
        <v>32613.848959958894</v>
      </c>
      <c r="C127">
        <v>33569.791294137154</v>
      </c>
      <c r="D127">
        <v>25716.747745662033</v>
      </c>
      <c r="E127">
        <v>25766.542581951915</v>
      </c>
      <c r="F127">
        <v>19838.951759979525</v>
      </c>
      <c r="G127">
        <v>19838.951759979525</v>
      </c>
      <c r="H127">
        <v>-2.8476266825799734E-2</v>
      </c>
      <c r="I127">
        <v>-1.9325385286561581E-3</v>
      </c>
      <c r="J127">
        <v>0</v>
      </c>
    </row>
    <row r="128" spans="1:10" x14ac:dyDescent="0.2">
      <c r="A128" s="4">
        <v>44013</v>
      </c>
      <c r="B128">
        <v>34489.92063693102</v>
      </c>
      <c r="C128">
        <v>34489.92063693102</v>
      </c>
      <c r="D128">
        <v>26829.229055826796</v>
      </c>
      <c r="E128">
        <v>26829.229055826796</v>
      </c>
      <c r="F128">
        <v>20414.167612259906</v>
      </c>
      <c r="G128">
        <v>20414.167612259906</v>
      </c>
      <c r="H128">
        <v>0</v>
      </c>
      <c r="I128">
        <v>0</v>
      </c>
      <c r="J128">
        <v>0</v>
      </c>
    </row>
    <row r="129" spans="1:10" x14ac:dyDescent="0.2">
      <c r="A129" s="4">
        <v>44044</v>
      </c>
      <c r="B129">
        <v>36662.932350271687</v>
      </c>
      <c r="C129">
        <v>36662.932350271687</v>
      </c>
      <c r="D129">
        <v>27872.34305046621</v>
      </c>
      <c r="E129">
        <v>27872.34305046621</v>
      </c>
      <c r="F129">
        <v>20715.384101755622</v>
      </c>
      <c r="G129">
        <v>20715.384101755622</v>
      </c>
      <c r="H129">
        <v>0</v>
      </c>
      <c r="I129">
        <v>0</v>
      </c>
      <c r="J129">
        <v>0</v>
      </c>
    </row>
    <row r="130" spans="1:10" x14ac:dyDescent="0.2">
      <c r="A130" s="4">
        <v>44075</v>
      </c>
      <c r="B130">
        <v>35362.764073762832</v>
      </c>
      <c r="C130">
        <v>36662.932350271687</v>
      </c>
      <c r="D130">
        <v>27204.726516316714</v>
      </c>
      <c r="E130">
        <v>27872.34305046621</v>
      </c>
      <c r="F130">
        <v>20457.631743340851</v>
      </c>
      <c r="G130">
        <v>20715.384101755622</v>
      </c>
      <c r="H130">
        <v>-3.5462746517034183E-2</v>
      </c>
      <c r="I130">
        <v>-2.3952652022856347E-2</v>
      </c>
      <c r="J130">
        <v>-1.2442557528678733E-2</v>
      </c>
    </row>
    <row r="131" spans="1:10" x14ac:dyDescent="0.2">
      <c r="A131" s="4">
        <v>44105</v>
      </c>
      <c r="B131">
        <v>34849.683723912502</v>
      </c>
      <c r="C131">
        <v>36662.932350271687</v>
      </c>
      <c r="D131">
        <v>26890.801080035661</v>
      </c>
      <c r="E131">
        <v>27872.34305046621</v>
      </c>
      <c r="F131">
        <v>20282.316271700671</v>
      </c>
      <c r="G131">
        <v>20715.384101755622</v>
      </c>
      <c r="H131">
        <v>-4.9457272239866179E-2</v>
      </c>
      <c r="I131">
        <v>-3.521562463024186E-2</v>
      </c>
      <c r="J131">
        <v>-2.0905614297455855E-2</v>
      </c>
    </row>
    <row r="132" spans="1:10" x14ac:dyDescent="0.2">
      <c r="A132" s="4">
        <v>44136</v>
      </c>
      <c r="B132">
        <v>38595.504996327458</v>
      </c>
      <c r="C132">
        <v>38595.504996327458</v>
      </c>
      <c r="D132">
        <v>28927.078629267453</v>
      </c>
      <c r="E132">
        <v>28927.078629267453</v>
      </c>
      <c r="F132">
        <v>21173.983765741472</v>
      </c>
      <c r="G132">
        <v>21173.983765741472</v>
      </c>
      <c r="H132">
        <v>0</v>
      </c>
      <c r="I132">
        <v>0</v>
      </c>
      <c r="J132">
        <v>0</v>
      </c>
    </row>
    <row r="133" spans="1:10" x14ac:dyDescent="0.2">
      <c r="A133" s="4">
        <v>44166</v>
      </c>
      <c r="B133">
        <v>40066.173926442338</v>
      </c>
      <c r="C133">
        <v>40066.173926442338</v>
      </c>
      <c r="D133">
        <v>29645.311522863918</v>
      </c>
      <c r="E133">
        <v>29645.311522863918</v>
      </c>
      <c r="F133">
        <v>21418.617414578068</v>
      </c>
      <c r="G133">
        <v>21418.617414578068</v>
      </c>
      <c r="H133">
        <v>0</v>
      </c>
      <c r="I133">
        <v>0</v>
      </c>
      <c r="J133">
        <v>0</v>
      </c>
    </row>
    <row r="134" spans="1:10" x14ac:dyDescent="0.2">
      <c r="A134" s="4">
        <v>44197</v>
      </c>
      <c r="B134">
        <v>40075.239224566227</v>
      </c>
      <c r="C134">
        <v>40075.239224566227</v>
      </c>
      <c r="D134">
        <v>29613.067477129262</v>
      </c>
      <c r="E134">
        <v>29645.311522863918</v>
      </c>
      <c r="F134">
        <v>21367.178893270226</v>
      </c>
      <c r="G134">
        <v>21418.617414578068</v>
      </c>
      <c r="H134">
        <v>0</v>
      </c>
      <c r="I134">
        <v>-1.0876608839069934E-3</v>
      </c>
      <c r="J134">
        <v>-2.4015799111679614E-3</v>
      </c>
    </row>
    <row r="135" spans="1:10" x14ac:dyDescent="0.2">
      <c r="A135" s="4">
        <v>44228</v>
      </c>
      <c r="B135">
        <v>41140.143173973302</v>
      </c>
      <c r="C135">
        <v>41140.143173973302</v>
      </c>
      <c r="D135">
        <v>29969.37931518101</v>
      </c>
      <c r="E135">
        <v>29969.37931518101</v>
      </c>
      <c r="F135">
        <v>21313.587536566483</v>
      </c>
      <c r="G135">
        <v>21418.617414578068</v>
      </c>
      <c r="H135">
        <v>0</v>
      </c>
      <c r="I135">
        <v>0</v>
      </c>
      <c r="J135">
        <v>-4.9036721642031766E-3</v>
      </c>
    </row>
    <row r="136" spans="1:10" x14ac:dyDescent="0.2">
      <c r="A136" s="4">
        <v>44256</v>
      </c>
      <c r="B136">
        <v>42311.51643182832</v>
      </c>
      <c r="C136">
        <v>42311.51643182832</v>
      </c>
      <c r="D136">
        <v>30412.365561369454</v>
      </c>
      <c r="E136">
        <v>30412.365561369454</v>
      </c>
      <c r="F136">
        <v>21336.815822810127</v>
      </c>
      <c r="G136">
        <v>21418.617414578068</v>
      </c>
      <c r="H136">
        <v>0</v>
      </c>
      <c r="I136">
        <v>0</v>
      </c>
      <c r="J136">
        <v>-3.8191817046167031E-3</v>
      </c>
    </row>
    <row r="137" spans="1:10" x14ac:dyDescent="0.2">
      <c r="A137" s="4">
        <v>44287</v>
      </c>
      <c r="B137">
        <v>44396.706301083505</v>
      </c>
      <c r="C137">
        <v>44396.706301083505</v>
      </c>
      <c r="D137">
        <v>31490.847368759867</v>
      </c>
      <c r="E137">
        <v>31490.847368759867</v>
      </c>
      <c r="F137">
        <v>21798.588254547947</v>
      </c>
      <c r="G137">
        <v>21798.588254547947</v>
      </c>
      <c r="H137">
        <v>0</v>
      </c>
      <c r="I137">
        <v>0</v>
      </c>
      <c r="J137">
        <v>0</v>
      </c>
    </row>
    <row r="138" spans="1:10" x14ac:dyDescent="0.2">
      <c r="A138" s="4">
        <v>44317</v>
      </c>
      <c r="B138">
        <v>44588.069389422584</v>
      </c>
      <c r="C138">
        <v>44588.069389422584</v>
      </c>
      <c r="D138">
        <v>31605.635845238692</v>
      </c>
      <c r="E138">
        <v>31605.635845238692</v>
      </c>
      <c r="F138">
        <v>21863.547530521053</v>
      </c>
      <c r="G138">
        <v>21863.547530521053</v>
      </c>
      <c r="H138">
        <v>0</v>
      </c>
      <c r="I138">
        <v>0</v>
      </c>
      <c r="J138">
        <v>0</v>
      </c>
    </row>
    <row r="139" spans="1:10" x14ac:dyDescent="0.2">
      <c r="A139" s="4">
        <v>44348</v>
      </c>
      <c r="B139">
        <v>45497.856278590501</v>
      </c>
      <c r="C139">
        <v>45497.856278590501</v>
      </c>
      <c r="D139">
        <v>32130.022941654348</v>
      </c>
      <c r="E139">
        <v>32130.022941654348</v>
      </c>
      <c r="F139">
        <v>22142.938987768452</v>
      </c>
      <c r="G139">
        <v>22142.938987768452</v>
      </c>
      <c r="H139">
        <v>0</v>
      </c>
      <c r="I139">
        <v>0</v>
      </c>
      <c r="J139">
        <v>0</v>
      </c>
    </row>
    <row r="140" spans="1:10" x14ac:dyDescent="0.2">
      <c r="A140" s="4">
        <v>44378</v>
      </c>
      <c r="B140">
        <v>46390.397342396318</v>
      </c>
      <c r="C140">
        <v>46390.397342396318</v>
      </c>
      <c r="D140">
        <v>32675.681114886396</v>
      </c>
      <c r="E140">
        <v>32675.681114886396</v>
      </c>
      <c r="F140">
        <v>22460.65506000015</v>
      </c>
      <c r="G140">
        <v>22460.65506000015</v>
      </c>
      <c r="H140">
        <v>0</v>
      </c>
      <c r="I140">
        <v>0</v>
      </c>
      <c r="J140">
        <v>0</v>
      </c>
    </row>
    <row r="141" spans="1:10" x14ac:dyDescent="0.2">
      <c r="A141" s="4">
        <v>44409</v>
      </c>
      <c r="B141">
        <v>47575.098518874853</v>
      </c>
      <c r="C141">
        <v>47575.098518874853</v>
      </c>
      <c r="D141">
        <v>33210.244393087843</v>
      </c>
      <c r="E141">
        <v>33210.244393087843</v>
      </c>
      <c r="F141">
        <v>22621.960677626226</v>
      </c>
      <c r="G141">
        <v>22621.960677626226</v>
      </c>
      <c r="H141">
        <v>0</v>
      </c>
      <c r="I141">
        <v>0</v>
      </c>
      <c r="J141">
        <v>0</v>
      </c>
    </row>
    <row r="142" spans="1:10" x14ac:dyDescent="0.2">
      <c r="A142" s="4">
        <v>44440</v>
      </c>
      <c r="B142">
        <v>45486.737822184186</v>
      </c>
      <c r="C142">
        <v>47575.098518874853</v>
      </c>
      <c r="D142">
        <v>32126.18607517314</v>
      </c>
      <c r="E142">
        <v>33210.244393087843</v>
      </c>
      <c r="F142">
        <v>22138.111196340193</v>
      </c>
      <c r="G142">
        <v>22621.960677626226</v>
      </c>
      <c r="H142">
        <v>-4.3896087695165398E-2</v>
      </c>
      <c r="I142">
        <v>-3.2642286671649146E-2</v>
      </c>
      <c r="J142">
        <v>-2.1388485648132782E-2</v>
      </c>
    </row>
    <row r="143" spans="1:10" x14ac:dyDescent="0.2">
      <c r="A143" s="4">
        <v>44470</v>
      </c>
      <c r="B143">
        <v>48366.12333314828</v>
      </c>
      <c r="C143">
        <v>48366.12333314828</v>
      </c>
      <c r="D143">
        <v>33490.602294227618</v>
      </c>
      <c r="E143">
        <v>33490.602294227618</v>
      </c>
      <c r="F143">
        <v>22617.166979548016</v>
      </c>
      <c r="G143">
        <v>22621.960677626226</v>
      </c>
      <c r="H143">
        <v>0</v>
      </c>
      <c r="I143">
        <v>0</v>
      </c>
      <c r="J143">
        <v>-2.119046242951006E-4</v>
      </c>
    </row>
    <row r="144" spans="1:10" x14ac:dyDescent="0.2">
      <c r="A144" s="4">
        <v>44501</v>
      </c>
      <c r="B144">
        <v>47739.252820186077</v>
      </c>
      <c r="C144">
        <v>48366.12333314828</v>
      </c>
      <c r="D144">
        <v>33223.762912359925</v>
      </c>
      <c r="E144">
        <v>33490.602294227618</v>
      </c>
      <c r="F144">
        <v>22549.898147300824</v>
      </c>
      <c r="G144">
        <v>22621.960677626226</v>
      </c>
      <c r="H144">
        <v>-1.2960941869256004E-2</v>
      </c>
      <c r="I144">
        <v>-7.9675898188813488E-3</v>
      </c>
      <c r="J144">
        <v>-3.1855121380647278E-3</v>
      </c>
    </row>
    <row r="145" spans="1:10" x14ac:dyDescent="0.2">
      <c r="A145" s="4">
        <v>44531</v>
      </c>
      <c r="B145">
        <v>49180.151334727801</v>
      </c>
      <c r="C145">
        <v>49180.151334727801</v>
      </c>
      <c r="D145">
        <v>33822.361506597088</v>
      </c>
      <c r="E145">
        <v>33822.361506597088</v>
      </c>
      <c r="F145">
        <v>22681.853076848653</v>
      </c>
      <c r="G145">
        <v>22681.853076848653</v>
      </c>
      <c r="H145">
        <v>0</v>
      </c>
      <c r="I145">
        <v>0</v>
      </c>
      <c r="J145">
        <v>0</v>
      </c>
    </row>
    <row r="146" spans="1:10" x14ac:dyDescent="0.2">
      <c r="A146" s="4">
        <v>44562</v>
      </c>
      <c r="B146">
        <v>46568.646541686241</v>
      </c>
      <c r="C146">
        <v>49180.151334727801</v>
      </c>
      <c r="D146">
        <v>32445.182711732275</v>
      </c>
      <c r="E146">
        <v>33822.361506597088</v>
      </c>
      <c r="F146">
        <v>22039.158125079706</v>
      </c>
      <c r="G146">
        <v>22681.853076848653</v>
      </c>
      <c r="H146">
        <v>-5.3100788065234883E-2</v>
      </c>
      <c r="I146">
        <v>-4.0717996423643932E-2</v>
      </c>
      <c r="J146">
        <v>-2.8335204782053092E-2</v>
      </c>
    </row>
    <row r="147" spans="1:10" x14ac:dyDescent="0.2">
      <c r="A147" s="4">
        <v>44593</v>
      </c>
      <c r="B147">
        <v>45464.770995940678</v>
      </c>
      <c r="C147">
        <v>49180.151334727801</v>
      </c>
      <c r="D147">
        <v>31791.30657777634</v>
      </c>
      <c r="E147">
        <v>33822.361506597088</v>
      </c>
      <c r="F147">
        <v>21673.258499132298</v>
      </c>
      <c r="G147">
        <v>22681.853076848653</v>
      </c>
      <c r="H147">
        <v>-7.5546338064306995E-2</v>
      </c>
      <c r="I147">
        <v>-6.0050654015527227E-2</v>
      </c>
      <c r="J147">
        <v>-4.4467027200075893E-2</v>
      </c>
    </row>
    <row r="148" spans="1:10" x14ac:dyDescent="0.2">
      <c r="A148" s="4">
        <v>44621</v>
      </c>
      <c r="B148">
        <v>46543.173103094807</v>
      </c>
      <c r="C148">
        <v>49180.151334727801</v>
      </c>
      <c r="D148">
        <v>32003.428472936503</v>
      </c>
      <c r="E148">
        <v>33822.361506597088</v>
      </c>
      <c r="F148">
        <v>21448.401421377199</v>
      </c>
      <c r="G148">
        <v>22681.853076848653</v>
      </c>
      <c r="H148">
        <v>-5.3618749842498592E-2</v>
      </c>
      <c r="I148">
        <v>-5.3779007515658006E-2</v>
      </c>
      <c r="J148">
        <v>-5.4380550446755049E-2</v>
      </c>
    </row>
    <row r="149" spans="1:10" x14ac:dyDescent="0.2">
      <c r="A149" s="4">
        <v>44652</v>
      </c>
      <c r="B149">
        <v>42647.769814305662</v>
      </c>
      <c r="C149">
        <v>49180.151334727801</v>
      </c>
      <c r="D149">
        <v>29784.142933826897</v>
      </c>
      <c r="E149">
        <v>33822.361506597088</v>
      </c>
      <c r="F149">
        <v>20268.823429903841</v>
      </c>
      <c r="G149">
        <v>22681.853076848653</v>
      </c>
      <c r="H149">
        <v>-0.13282556769623843</v>
      </c>
      <c r="I149">
        <v>-0.11939493260937828</v>
      </c>
      <c r="J149">
        <v>-0.10638591294852306</v>
      </c>
    </row>
    <row r="150" spans="1:10" x14ac:dyDescent="0.2">
      <c r="A150" s="4">
        <v>44682</v>
      </c>
      <c r="B150">
        <v>42589.962786440818</v>
      </c>
      <c r="C150">
        <v>49180.151334727801</v>
      </c>
      <c r="D150">
        <v>29846.097036727573</v>
      </c>
      <c r="E150">
        <v>33822.361506597088</v>
      </c>
      <c r="F150">
        <v>20380.619363194117</v>
      </c>
      <c r="G150">
        <v>22681.853076848653</v>
      </c>
      <c r="H150">
        <v>-0.13400098148200335</v>
      </c>
      <c r="I150">
        <v>-0.11756318283967071</v>
      </c>
      <c r="J150">
        <v>-0.10145704170896874</v>
      </c>
    </row>
    <row r="151" spans="1:10" x14ac:dyDescent="0.2">
      <c r="A151" s="4">
        <v>44713</v>
      </c>
      <c r="B151">
        <v>39224.21274406914</v>
      </c>
      <c r="C151">
        <v>49180.151334727801</v>
      </c>
      <c r="D151">
        <v>28107.440161270595</v>
      </c>
      <c r="E151">
        <v>33822.361506597088</v>
      </c>
      <c r="F151">
        <v>19616.726850637813</v>
      </c>
      <c r="G151">
        <v>22681.853076848653</v>
      </c>
      <c r="H151">
        <v>-0.20243814466728638</v>
      </c>
      <c r="I151">
        <v>-0.1689687263324825</v>
      </c>
      <c r="J151">
        <v>-0.13513561770397897</v>
      </c>
    </row>
    <row r="152" spans="1:10" x14ac:dyDescent="0.2">
      <c r="A152" s="4">
        <v>44743</v>
      </c>
      <c r="B152">
        <v>42771.315738902347</v>
      </c>
      <c r="C152">
        <v>49180.151334727801</v>
      </c>
      <c r="D152">
        <v>30024.576766287628</v>
      </c>
      <c r="E152">
        <v>33822.361506597088</v>
      </c>
      <c r="F152">
        <v>20518.771048949453</v>
      </c>
      <c r="G152">
        <v>22681.853076848653</v>
      </c>
      <c r="H152">
        <v>-0.1303134582121539</v>
      </c>
      <c r="I152">
        <v>-0.11228620862469041</v>
      </c>
      <c r="J152">
        <v>-9.5366195194477088E-2</v>
      </c>
    </row>
    <row r="153" spans="1:10" x14ac:dyDescent="0.2">
      <c r="A153" s="4">
        <v>44774</v>
      </c>
      <c r="B153">
        <v>41215.334296825044</v>
      </c>
      <c r="C153">
        <v>49180.151334727801</v>
      </c>
      <c r="D153">
        <v>29017.086897178157</v>
      </c>
      <c r="E153">
        <v>33822.361506597088</v>
      </c>
      <c r="F153">
        <v>19888.189723829331</v>
      </c>
      <c r="G153">
        <v>22681.853076848653</v>
      </c>
      <c r="H153">
        <v>-0.16195186110130011</v>
      </c>
      <c r="I153">
        <v>-0.14207389417446969</v>
      </c>
      <c r="J153">
        <v>-0.12316733309020556</v>
      </c>
    </row>
    <row r="154" spans="1:10" x14ac:dyDescent="0.2">
      <c r="A154" s="4">
        <v>44805</v>
      </c>
      <c r="B154">
        <v>37476.624237583987</v>
      </c>
      <c r="C154">
        <v>49180.151334727801</v>
      </c>
      <c r="D154">
        <v>26855.991918361993</v>
      </c>
      <c r="E154">
        <v>33822.361506597088</v>
      </c>
      <c r="F154">
        <v>18729.868906234056</v>
      </c>
      <c r="G154">
        <v>22681.853076848653</v>
      </c>
      <c r="H154">
        <v>-0.23797257185094411</v>
      </c>
      <c r="I154">
        <v>-0.20596934329604089</v>
      </c>
      <c r="J154">
        <v>-0.17423550700310209</v>
      </c>
    </row>
    <row r="155" spans="1:10" x14ac:dyDescent="0.2">
      <c r="A155" s="4">
        <v>44835</v>
      </c>
      <c r="B155">
        <v>40324.161534437313</v>
      </c>
      <c r="C155">
        <v>49180.151334727801</v>
      </c>
      <c r="D155">
        <v>28111.880676688157</v>
      </c>
      <c r="E155">
        <v>33822.361506597088</v>
      </c>
      <c r="F155">
        <v>19058.502204626446</v>
      </c>
      <c r="G155">
        <v>22681.853076848653</v>
      </c>
      <c r="H155">
        <v>-0.18007243898082459</v>
      </c>
      <c r="I155">
        <v>-0.16883743699549469</v>
      </c>
      <c r="J155">
        <v>-0.15974668647865276</v>
      </c>
    </row>
    <row r="156" spans="1:10" x14ac:dyDescent="0.2">
      <c r="A156" s="4">
        <v>44866</v>
      </c>
      <c r="B156">
        <v>42347.813271580613</v>
      </c>
      <c r="C156">
        <v>49180.151334727801</v>
      </c>
      <c r="D156">
        <v>29394.865981683728</v>
      </c>
      <c r="E156">
        <v>33822.361506597088</v>
      </c>
      <c r="F156">
        <v>19841.663565200193</v>
      </c>
      <c r="G156">
        <v>22681.853076848653</v>
      </c>
      <c r="H156">
        <v>-0.13892470595800377</v>
      </c>
      <c r="I156">
        <v>-0.13090438773915214</v>
      </c>
      <c r="J156">
        <v>-0.12521858342109793</v>
      </c>
    </row>
    <row r="157" spans="1:10" x14ac:dyDescent="0.2">
      <c r="A157" s="4">
        <v>44896</v>
      </c>
      <c r="B157">
        <v>39900.551450986764</v>
      </c>
      <c r="C157">
        <v>49180.151334727801</v>
      </c>
      <c r="D157">
        <v>28161.31275551362</v>
      </c>
      <c r="E157">
        <v>33822.361506597088</v>
      </c>
      <c r="F157">
        <v>19322.997039828133</v>
      </c>
      <c r="G157">
        <v>22681.853076848653</v>
      </c>
      <c r="H157">
        <v>-0.18868587492914835</v>
      </c>
      <c r="I157">
        <v>-0.16737591637352922</v>
      </c>
      <c r="J157">
        <v>-0.14808560947998117</v>
      </c>
    </row>
    <row r="158" spans="1:10" x14ac:dyDescent="0.2">
      <c r="A158" s="4">
        <v>44927</v>
      </c>
      <c r="B158">
        <v>42722.827023107828</v>
      </c>
      <c r="C158">
        <v>49180.151334727801</v>
      </c>
      <c r="D158">
        <v>29845.588507681721</v>
      </c>
      <c r="E158">
        <v>33822.361506597088</v>
      </c>
      <c r="F158">
        <v>20267.57344445631</v>
      </c>
      <c r="G158">
        <v>22681.853076848653</v>
      </c>
      <c r="H158">
        <v>-0.13129939897237031</v>
      </c>
      <c r="I158">
        <v>-0.1175782181306203</v>
      </c>
      <c r="J158">
        <v>-0.10644102244258857</v>
      </c>
    </row>
    <row r="159" spans="1:10" x14ac:dyDescent="0.2">
      <c r="A159" s="4">
        <v>44958</v>
      </c>
      <c r="B159">
        <v>41675.413580026427</v>
      </c>
      <c r="C159">
        <v>49180.151334727801</v>
      </c>
      <c r="D159">
        <v>29068.511815949973</v>
      </c>
      <c r="E159">
        <v>33822.361506597088</v>
      </c>
      <c r="F159">
        <v>19709.06695072394</v>
      </c>
      <c r="G159">
        <v>22681.853076848653</v>
      </c>
      <c r="H159">
        <v>-0.15259688209625377</v>
      </c>
      <c r="I159">
        <v>-0.14055345277176678</v>
      </c>
      <c r="J159">
        <v>-0.13106451735017333</v>
      </c>
    </row>
    <row r="160" spans="1:10" x14ac:dyDescent="0.2">
      <c r="A160" s="4">
        <v>44986</v>
      </c>
      <c r="B160">
        <v>42647.37501100704</v>
      </c>
      <c r="C160">
        <v>49180.151334727801</v>
      </c>
      <c r="D160">
        <v>29780.733947033197</v>
      </c>
      <c r="E160">
        <v>33822.361506597088</v>
      </c>
      <c r="F160">
        <v>20215.211967562595</v>
      </c>
      <c r="G160">
        <v>22681.853076848653</v>
      </c>
      <c r="H160">
        <v>-0.13283359539212602</v>
      </c>
      <c r="I160">
        <v>-0.11949572352526494</v>
      </c>
      <c r="J160">
        <v>-0.10874954091840738</v>
      </c>
    </row>
    <row r="161" spans="1:10" x14ac:dyDescent="0.2">
      <c r="A161" s="4">
        <v>45017</v>
      </c>
      <c r="B161">
        <v>43242.03873658066</v>
      </c>
      <c r="C161">
        <v>49180.151334727801</v>
      </c>
      <c r="D161">
        <v>30114.278554930712</v>
      </c>
      <c r="E161">
        <v>33822.361506597088</v>
      </c>
      <c r="F161">
        <v>20386.157669113556</v>
      </c>
      <c r="G161">
        <v>22681.853076848653</v>
      </c>
      <c r="H161">
        <v>-0.12074205623588707</v>
      </c>
      <c r="I161">
        <v>-0.10963406416619104</v>
      </c>
      <c r="J161">
        <v>-0.10121286827654796</v>
      </c>
    </row>
    <row r="162" spans="1:10" x14ac:dyDescent="0.2">
      <c r="A162" s="4">
        <v>45047</v>
      </c>
      <c r="B162">
        <v>43358.701058882922</v>
      </c>
      <c r="C162">
        <v>49180.151334727801</v>
      </c>
      <c r="D162">
        <v>30052.906324854437</v>
      </c>
      <c r="E162">
        <v>33822.361506597088</v>
      </c>
      <c r="F162">
        <v>20248.064958610794</v>
      </c>
      <c r="G162">
        <v>22681.853076848653</v>
      </c>
      <c r="H162">
        <v>-0.11836991383420481</v>
      </c>
      <c r="I162">
        <v>-0.11144861014531504</v>
      </c>
      <c r="J162">
        <v>-0.10730111468370385</v>
      </c>
    </row>
    <row r="163" spans="1:10" x14ac:dyDescent="0.2">
      <c r="A163" s="4">
        <v>45078</v>
      </c>
      <c r="B163">
        <v>45815.362100517763</v>
      </c>
      <c r="C163">
        <v>49180.151334727801</v>
      </c>
      <c r="D163">
        <v>31163.847485470149</v>
      </c>
      <c r="E163">
        <v>33822.361506597088</v>
      </c>
      <c r="F163">
        <v>20597.816909332792</v>
      </c>
      <c r="G163">
        <v>22681.853076848653</v>
      </c>
      <c r="H163">
        <v>-6.8417626682536148E-2</v>
      </c>
      <c r="I163">
        <v>-7.8602259058948132E-2</v>
      </c>
      <c r="J163">
        <v>-9.1881212723445183E-2</v>
      </c>
    </row>
    <row r="164" spans="1:10" x14ac:dyDescent="0.2">
      <c r="A164" s="4">
        <v>45108</v>
      </c>
      <c r="B164">
        <v>47484.572155456641</v>
      </c>
      <c r="C164">
        <v>49180.151334727801</v>
      </c>
      <c r="D164">
        <v>31908.187210784068</v>
      </c>
      <c r="E164">
        <v>33822.361506597088</v>
      </c>
      <c r="F164">
        <v>20831.314236566741</v>
      </c>
      <c r="G164">
        <v>22681.853076848653</v>
      </c>
      <c r="H164">
        <v>-3.4476900400952082E-2</v>
      </c>
      <c r="I164">
        <v>-5.6594933367963063E-2</v>
      </c>
      <c r="J164">
        <v>-8.1586757220059591E-2</v>
      </c>
    </row>
    <row r="165" spans="1:10" x14ac:dyDescent="0.2">
      <c r="A165" s="4">
        <v>45139</v>
      </c>
      <c r="B165">
        <v>46626.586218065167</v>
      </c>
      <c r="C165">
        <v>49180.151334727801</v>
      </c>
      <c r="D165">
        <v>31452.801461933268</v>
      </c>
      <c r="E165">
        <v>33822.361506597088</v>
      </c>
      <c r="F165">
        <v>20613.110919769439</v>
      </c>
      <c r="G165">
        <v>22681.853076848653</v>
      </c>
      <c r="H165">
        <v>-5.1922677083335311E-2</v>
      </c>
      <c r="I165">
        <v>-7.0058976934583184E-2</v>
      </c>
      <c r="J165">
        <v>-9.1206928731531911E-2</v>
      </c>
    </row>
    <row r="166" spans="1:10" x14ac:dyDescent="0.2">
      <c r="A166" s="4">
        <v>45170</v>
      </c>
      <c r="B166">
        <v>44350.072571614917</v>
      </c>
      <c r="C166">
        <v>49180.151334727801</v>
      </c>
      <c r="D166">
        <v>30167.920499987886</v>
      </c>
      <c r="E166">
        <v>33822.361506597088</v>
      </c>
      <c r="F166">
        <v>19935.397295470564</v>
      </c>
      <c r="G166">
        <v>22681.853076848653</v>
      </c>
      <c r="H166">
        <v>-9.8211954051109163E-2</v>
      </c>
      <c r="I166">
        <v>-0.1080480736360292</v>
      </c>
      <c r="J166">
        <v>-0.1210860405484856</v>
      </c>
    </row>
    <row r="167" spans="1:10" x14ac:dyDescent="0.2">
      <c r="A167" s="4">
        <v>45200</v>
      </c>
      <c r="B167">
        <v>43369.454535566198</v>
      </c>
      <c r="C167">
        <v>49180.151334727801</v>
      </c>
      <c r="D167">
        <v>29570.387437716512</v>
      </c>
      <c r="E167">
        <v>33822.361506597088</v>
      </c>
      <c r="F167">
        <v>19586.469035811726</v>
      </c>
      <c r="G167">
        <v>22681.853076848653</v>
      </c>
      <c r="H167">
        <v>-0.11815125902344403</v>
      </c>
      <c r="I167">
        <v>-0.12571487854422059</v>
      </c>
      <c r="J167">
        <v>-0.1364696275277606</v>
      </c>
    </row>
    <row r="168" spans="1:10" x14ac:dyDescent="0.2">
      <c r="A168" s="4">
        <v>45231</v>
      </c>
      <c r="B168">
        <v>47240.585668556538</v>
      </c>
      <c r="C168">
        <v>49180.151334727801</v>
      </c>
      <c r="D168">
        <v>31775.409205397762</v>
      </c>
      <c r="E168">
        <v>33822.361506597088</v>
      </c>
      <c r="F168">
        <v>20759.263044785541</v>
      </c>
      <c r="G168">
        <v>22681.853076848653</v>
      </c>
      <c r="H168">
        <v>-3.9437976775839378E-2</v>
      </c>
      <c r="I168">
        <v>-6.0520679515534859E-2</v>
      </c>
      <c r="J168">
        <v>-8.4763357982663989E-2</v>
      </c>
    </row>
    <row r="169" spans="1:10" x14ac:dyDescent="0.2">
      <c r="A169" s="4">
        <v>45261</v>
      </c>
      <c r="B169">
        <v>49454.919609184428</v>
      </c>
      <c r="C169">
        <v>49454.919609184428</v>
      </c>
      <c r="D169">
        <v>33115.024301347679</v>
      </c>
      <c r="E169">
        <v>33822.361506597088</v>
      </c>
      <c r="F169">
        <v>21536.576513956665</v>
      </c>
      <c r="G169">
        <v>22681.853076848653</v>
      </c>
      <c r="H169">
        <v>0</v>
      </c>
      <c r="I169">
        <v>-2.0913300365246301E-2</v>
      </c>
      <c r="J169">
        <v>-5.0493077395910468E-2</v>
      </c>
    </row>
    <row r="170" spans="1:10" x14ac:dyDescent="0.2">
      <c r="A170" s="4">
        <v>45292</v>
      </c>
      <c r="B170">
        <v>50165.385089226402</v>
      </c>
      <c r="C170">
        <v>50165.385089226402</v>
      </c>
      <c r="D170">
        <v>33477.735380904698</v>
      </c>
      <c r="E170">
        <v>33822.361506597088</v>
      </c>
      <c r="F170">
        <v>21698.966882572171</v>
      </c>
      <c r="G170">
        <v>22681.853076848653</v>
      </c>
      <c r="H170">
        <v>0</v>
      </c>
      <c r="I170">
        <v>-1.0189298154866244E-2</v>
      </c>
      <c r="J170">
        <v>-4.3333593200976739E-2</v>
      </c>
    </row>
    <row r="171" spans="1:10" x14ac:dyDescent="0.2">
      <c r="A171" s="4">
        <v>45323</v>
      </c>
      <c r="B171">
        <v>52474.378116888329</v>
      </c>
      <c r="C171">
        <v>52474.378116888329</v>
      </c>
      <c r="D171">
        <v>34319.888530431737</v>
      </c>
      <c r="E171">
        <v>34319.888530431737</v>
      </c>
      <c r="F171">
        <v>21791.917069040363</v>
      </c>
      <c r="G171">
        <v>22681.853076848653</v>
      </c>
      <c r="H171">
        <v>0</v>
      </c>
      <c r="I171">
        <v>0</v>
      </c>
      <c r="J171">
        <v>-3.9235595292548942E-2</v>
      </c>
    </row>
    <row r="172" spans="1:10" x14ac:dyDescent="0.2">
      <c r="A172" s="4">
        <v>45352</v>
      </c>
      <c r="B172">
        <v>53887.345240605187</v>
      </c>
      <c r="C172">
        <v>53887.345240605187</v>
      </c>
      <c r="D172">
        <v>35035.019027787181</v>
      </c>
      <c r="E172">
        <v>35035.019027787181</v>
      </c>
      <c r="F172">
        <v>22113.295676394944</v>
      </c>
      <c r="G172">
        <v>22681.853076848653</v>
      </c>
      <c r="H172">
        <v>0</v>
      </c>
      <c r="I172">
        <v>0</v>
      </c>
      <c r="J172">
        <v>-2.5066620373889736E-2</v>
      </c>
    </row>
    <row r="173" spans="1:10" x14ac:dyDescent="0.2">
      <c r="A173" s="4">
        <v>45383</v>
      </c>
      <c r="B173">
        <v>51813.623976976902</v>
      </c>
      <c r="C173">
        <v>53887.345240605187</v>
      </c>
      <c r="D173">
        <v>33852.748507758311</v>
      </c>
      <c r="E173">
        <v>35035.019027787181</v>
      </c>
      <c r="F173">
        <v>21471.827443581449</v>
      </c>
      <c r="G173">
        <v>22681.853076848653</v>
      </c>
      <c r="H173">
        <v>-3.8482527843396119E-2</v>
      </c>
      <c r="I173">
        <v>-3.3745393975415872E-2</v>
      </c>
      <c r="J173">
        <v>-5.3347741437505203E-2</v>
      </c>
    </row>
    <row r="174" spans="1:10" x14ac:dyDescent="0.2">
      <c r="A174" s="4">
        <v>45413</v>
      </c>
      <c r="B174">
        <v>54118.46431307531</v>
      </c>
      <c r="C174">
        <v>54118.46431307531</v>
      </c>
      <c r="D174">
        <v>35044.940045210424</v>
      </c>
      <c r="E174">
        <v>35044.940045210424</v>
      </c>
      <c r="F174">
        <v>22029.035766094901</v>
      </c>
      <c r="G174">
        <v>22681.853076848653</v>
      </c>
      <c r="H174">
        <v>0</v>
      </c>
      <c r="I174">
        <v>0</v>
      </c>
      <c r="J174">
        <v>-2.8781480443504037E-2</v>
      </c>
    </row>
    <row r="175" spans="1:10" x14ac:dyDescent="0.2">
      <c r="A175" s="4">
        <v>45444</v>
      </c>
      <c r="B175">
        <v>55489.004776871268</v>
      </c>
      <c r="C175">
        <v>55489.004776871268</v>
      </c>
      <c r="D175">
        <v>35739.433478046129</v>
      </c>
      <c r="E175">
        <v>35739.433478046129</v>
      </c>
      <c r="F175">
        <v>22344.263041279148</v>
      </c>
      <c r="G175">
        <v>22681.853076848653</v>
      </c>
      <c r="H175">
        <v>0</v>
      </c>
      <c r="I175">
        <v>0</v>
      </c>
      <c r="J175">
        <v>-1.4883706125143781E-2</v>
      </c>
    </row>
    <row r="176" spans="1:10" x14ac:dyDescent="0.2">
      <c r="A176" s="4">
        <v>45474</v>
      </c>
      <c r="B176">
        <v>56743.466552460122</v>
      </c>
      <c r="C176">
        <v>56743.466552460122</v>
      </c>
      <c r="D176">
        <v>36558.206513891993</v>
      </c>
      <c r="E176">
        <v>36558.206513891993</v>
      </c>
      <c r="F176">
        <v>22862.909884548702</v>
      </c>
      <c r="G176">
        <v>22862.909884548702</v>
      </c>
      <c r="H176">
        <v>0</v>
      </c>
      <c r="I176">
        <v>0</v>
      </c>
      <c r="J176">
        <v>0</v>
      </c>
    </row>
    <row r="177" spans="1:10" x14ac:dyDescent="0.2">
      <c r="A177" s="4">
        <v>45505</v>
      </c>
      <c r="B177">
        <v>57916.018097701359</v>
      </c>
      <c r="C177">
        <v>57916.018097701359</v>
      </c>
      <c r="D177">
        <v>37239.668876785174</v>
      </c>
      <c r="E177">
        <v>37239.668876785174</v>
      </c>
      <c r="F177">
        <v>23242.819916144133</v>
      </c>
      <c r="G177">
        <v>23242.819916144133</v>
      </c>
      <c r="H177">
        <v>0</v>
      </c>
      <c r="I177">
        <v>0</v>
      </c>
      <c r="J177">
        <v>0</v>
      </c>
    </row>
    <row r="178" spans="1:10" x14ac:dyDescent="0.2">
      <c r="A178" s="4">
        <v>45536</v>
      </c>
      <c r="B178">
        <v>58887.210381074474</v>
      </c>
      <c r="C178">
        <v>58887.210381074474</v>
      </c>
      <c r="D178">
        <v>37820.384780013308</v>
      </c>
      <c r="E178">
        <v>37820.384780013308</v>
      </c>
      <c r="F178">
        <v>23577.959340621073</v>
      </c>
      <c r="G178">
        <v>23577.959340621073</v>
      </c>
      <c r="H178">
        <v>0</v>
      </c>
      <c r="I178">
        <v>0</v>
      </c>
      <c r="J178">
        <v>0</v>
      </c>
    </row>
    <row r="179" spans="1:10" x14ac:dyDescent="0.2">
      <c r="A179" s="4">
        <v>45566</v>
      </c>
      <c r="B179">
        <v>58506.794850847538</v>
      </c>
      <c r="C179">
        <v>58887.210381074474</v>
      </c>
      <c r="D179">
        <v>37349.199302505294</v>
      </c>
      <c r="E179">
        <v>37820.384780013308</v>
      </c>
      <c r="F179">
        <v>23142.782340681839</v>
      </c>
      <c r="G179">
        <v>23577.959340621073</v>
      </c>
      <c r="H179">
        <v>-6.4600704934937303E-3</v>
      </c>
      <c r="I179">
        <v>-1.2458505651085194E-2</v>
      </c>
      <c r="J179">
        <v>-1.845694080867688E-2</v>
      </c>
    </row>
    <row r="180" spans="1:10" x14ac:dyDescent="0.2">
      <c r="A180" s="4">
        <v>45597</v>
      </c>
      <c r="B180">
        <v>62095.016428969873</v>
      </c>
      <c r="C180">
        <v>62095.016428969873</v>
      </c>
      <c r="D180">
        <v>39005.426388443986</v>
      </c>
      <c r="E180">
        <v>39005.426388443986</v>
      </c>
      <c r="F180">
        <v>23775.94022706063</v>
      </c>
      <c r="G180">
        <v>23775.94022706063</v>
      </c>
      <c r="H180">
        <v>0</v>
      </c>
      <c r="I180">
        <v>0</v>
      </c>
      <c r="J180">
        <v>0</v>
      </c>
    </row>
    <row r="181" spans="1:10" x14ac:dyDescent="0.2">
      <c r="A181" s="4">
        <v>45627</v>
      </c>
      <c r="B181">
        <v>60100.196492043542</v>
      </c>
      <c r="C181">
        <v>62095.016428969873</v>
      </c>
      <c r="D181">
        <v>37912.35264189075</v>
      </c>
      <c r="E181">
        <v>39005.426388443986</v>
      </c>
      <c r="F181">
        <v>23207.17258352755</v>
      </c>
      <c r="G181">
        <v>23775.94022706063</v>
      </c>
      <c r="H181">
        <v>-3.2125282376053388E-2</v>
      </c>
      <c r="I181">
        <v>-2.8023632806051801E-2</v>
      </c>
      <c r="J181">
        <v>-2.3921983236050326E-2</v>
      </c>
    </row>
    <row r="182" spans="1:10" x14ac:dyDescent="0.2">
      <c r="A182" s="4">
        <v>45658</v>
      </c>
      <c r="B182">
        <v>61993.070003716908</v>
      </c>
      <c r="C182">
        <v>62095.016428969873</v>
      </c>
      <c r="D182">
        <v>38862.822303317662</v>
      </c>
      <c r="E182">
        <v>39005.426388443986</v>
      </c>
      <c r="F182">
        <v>23639.871980231914</v>
      </c>
      <c r="G182">
        <v>23775.94022706063</v>
      </c>
      <c r="H182">
        <v>-1.641781114102514E-3</v>
      </c>
      <c r="I182">
        <v>-3.6560063132285991E-3</v>
      </c>
      <c r="J182">
        <v>-5.7229386316276498E-3</v>
      </c>
    </row>
    <row r="183" spans="1:10" x14ac:dyDescent="0.2">
      <c r="A183" s="4">
        <v>45689</v>
      </c>
      <c r="B183">
        <v>61052.760159267884</v>
      </c>
      <c r="C183">
        <v>62095.016428969873</v>
      </c>
      <c r="D183">
        <v>38706.288101137747</v>
      </c>
      <c r="E183">
        <v>39005.426388443986</v>
      </c>
      <c r="F183">
        <v>23808.004734900416</v>
      </c>
      <c r="G183">
        <v>23808.004734900416</v>
      </c>
      <c r="H183">
        <v>-1.6784861807617402E-2</v>
      </c>
      <c r="I183">
        <v>-7.669145424208601E-3</v>
      </c>
      <c r="J183">
        <v>0</v>
      </c>
    </row>
    <row r="184" spans="1:10" x14ac:dyDescent="0.2">
      <c r="A184" s="4">
        <v>45717</v>
      </c>
      <c r="B184">
        <v>57657.079875416523</v>
      </c>
      <c r="C184">
        <v>62095.016428969873</v>
      </c>
      <c r="D184">
        <v>37276.553446276892</v>
      </c>
      <c r="E184">
        <v>39005.426388443986</v>
      </c>
      <c r="F184">
        <v>23373.334655604187</v>
      </c>
      <c r="G184">
        <v>23808.004734900416</v>
      </c>
      <c r="H184">
        <v>-7.1470092267869489E-2</v>
      </c>
      <c r="I184">
        <v>-4.4323908292906222E-2</v>
      </c>
      <c r="J184">
        <v>-1.825730816740978E-2</v>
      </c>
    </row>
    <row r="185" spans="1:10" x14ac:dyDescent="0.2">
      <c r="A185" s="4">
        <v>45748</v>
      </c>
      <c r="B185">
        <v>57477.566790483907</v>
      </c>
      <c r="C185">
        <v>62095.016428969873</v>
      </c>
      <c r="D185">
        <v>37244.759640445918</v>
      </c>
      <c r="E185">
        <v>39005.426388443986</v>
      </c>
      <c r="F185">
        <v>23406.23559915704</v>
      </c>
      <c r="G185">
        <v>23808.004734900416</v>
      </c>
      <c r="H185">
        <v>-7.4361034170396634E-2</v>
      </c>
      <c r="I185">
        <v>-4.5139020670203367E-2</v>
      </c>
      <c r="J185">
        <v>-1.68753803696291E-2</v>
      </c>
    </row>
    <row r="186" spans="1:10" x14ac:dyDescent="0.2">
      <c r="A186" s="4">
        <v>45778</v>
      </c>
      <c r="B186">
        <v>60673.662529374109</v>
      </c>
      <c r="C186">
        <v>62095.016428969873</v>
      </c>
      <c r="D186">
        <v>38543.42537543318</v>
      </c>
      <c r="E186">
        <v>39005.426388443986</v>
      </c>
      <c r="F186">
        <v>23736.985883746715</v>
      </c>
      <c r="G186">
        <v>23808.004734900416</v>
      </c>
      <c r="H186">
        <v>-2.2889983469472797E-2</v>
      </c>
      <c r="I186">
        <v>-1.1844531794368063E-2</v>
      </c>
      <c r="J186">
        <v>-2.9829820660944861E-3</v>
      </c>
    </row>
    <row r="187" spans="1:10" x14ac:dyDescent="0.2">
      <c r="A187" s="4">
        <v>45809</v>
      </c>
      <c r="B187">
        <v>63411.475185521354</v>
      </c>
      <c r="C187">
        <v>63411.475185521354</v>
      </c>
      <c r="D187">
        <v>39895.611549444191</v>
      </c>
      <c r="E187">
        <v>39895.611549444191</v>
      </c>
      <c r="F187">
        <v>24331.377113007969</v>
      </c>
      <c r="G187">
        <v>24331.377113007969</v>
      </c>
      <c r="H187">
        <v>0</v>
      </c>
      <c r="I187">
        <v>0</v>
      </c>
      <c r="J187">
        <v>0</v>
      </c>
    </row>
    <row r="188" spans="1:10" x14ac:dyDescent="0.2">
      <c r="A188" s="4">
        <v>45839</v>
      </c>
      <c r="B188">
        <v>64878.57295145504</v>
      </c>
      <c r="C188">
        <v>64878.57295145504</v>
      </c>
      <c r="D188">
        <v>40477.594118322595</v>
      </c>
      <c r="E188">
        <v>40477.594118322595</v>
      </c>
      <c r="F188">
        <v>24478.317017761146</v>
      </c>
      <c r="G188">
        <v>24478.317017761146</v>
      </c>
      <c r="H188">
        <v>0</v>
      </c>
      <c r="I188">
        <v>0</v>
      </c>
      <c r="J188">
        <v>0</v>
      </c>
    </row>
    <row r="189" spans="1:10" x14ac:dyDescent="0.2">
      <c r="A189" s="4">
        <v>45870</v>
      </c>
      <c r="B189">
        <v>66326.048622263639</v>
      </c>
      <c r="C189">
        <v>66326.048622263639</v>
      </c>
      <c r="D189">
        <v>41234.276691248</v>
      </c>
      <c r="E189">
        <v>41234.276691248</v>
      </c>
      <c r="F189">
        <v>24847.381247908372</v>
      </c>
      <c r="G189">
        <v>24847.381247908372</v>
      </c>
      <c r="H189">
        <v>0</v>
      </c>
      <c r="I189">
        <v>0</v>
      </c>
      <c r="J189">
        <v>0</v>
      </c>
    </row>
    <row r="190" spans="1:10" x14ac:dyDescent="0.2">
      <c r="A190" s="4">
        <v>45901</v>
      </c>
      <c r="B190">
        <v>68268.914346812817</v>
      </c>
      <c r="C190">
        <v>68268.914346812817</v>
      </c>
      <c r="D190">
        <v>42191.456260120875</v>
      </c>
      <c r="E190">
        <v>42191.456260120875</v>
      </c>
      <c r="F190">
        <v>25273.110136639611</v>
      </c>
      <c r="G190">
        <v>25273.110136639611</v>
      </c>
      <c r="H190">
        <v>0</v>
      </c>
      <c r="I190">
        <v>0</v>
      </c>
      <c r="J190">
        <v>0</v>
      </c>
    </row>
    <row r="191" spans="1:10" x14ac:dyDescent="0.2">
      <c r="A191" s="4">
        <v>45931</v>
      </c>
      <c r="B191">
        <v>69843.51457765454</v>
      </c>
      <c r="C191">
        <v>69843.51457765454</v>
      </c>
      <c r="D191">
        <v>42926.704390435247</v>
      </c>
      <c r="E191">
        <v>42926.704390435247</v>
      </c>
      <c r="F191">
        <v>25571.036270337576</v>
      </c>
      <c r="G191">
        <v>25571.036270337576</v>
      </c>
      <c r="H191">
        <v>0</v>
      </c>
      <c r="I191">
        <v>0</v>
      </c>
      <c r="J191">
        <v>0</v>
      </c>
    </row>
    <row r="192" spans="1:10" x14ac:dyDescent="0.2">
      <c r="A192" s="4">
        <v>45962</v>
      </c>
      <c r="B192">
        <v>70051.572403155107</v>
      </c>
      <c r="C192">
        <v>70051.572403155107</v>
      </c>
      <c r="D192">
        <v>43095.529855844419</v>
      </c>
      <c r="E192">
        <v>43095.529855844419</v>
      </c>
      <c r="F192">
        <v>25695.997852734938</v>
      </c>
      <c r="G192">
        <v>25695.997852734938</v>
      </c>
      <c r="H192">
        <v>0</v>
      </c>
      <c r="I192">
        <v>0</v>
      </c>
      <c r="J192">
        <v>0</v>
      </c>
    </row>
    <row r="193" spans="1:10" x14ac:dyDescent="0.2">
      <c r="A193" s="4">
        <v>45992</v>
      </c>
      <c r="B193">
        <v>69812.540156381234</v>
      </c>
      <c r="C193">
        <v>70051.572403155107</v>
      </c>
      <c r="D193">
        <v>42908.258464202685</v>
      </c>
      <c r="E193">
        <v>43095.529855844419</v>
      </c>
      <c r="F193">
        <v>25560.354930730995</v>
      </c>
      <c r="G193">
        <v>25695.997852734938</v>
      </c>
      <c r="H193">
        <v>-3.4122324249655778E-3</v>
      </c>
      <c r="I193">
        <v>-4.3454945853587112E-3</v>
      </c>
      <c r="J193">
        <v>-5.2787567457516227E-3</v>
      </c>
    </row>
    <row r="196" spans="1:10" x14ac:dyDescent="0.2">
      <c r="G196" s="5"/>
    </row>
    <row r="197" spans="1:10" x14ac:dyDescent="0.2">
      <c r="G197" s="5"/>
    </row>
    <row r="198" spans="1:10" x14ac:dyDescent="0.2">
      <c r="G198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7B9E-7145-F04C-9587-5AD03CDFDA68}">
  <dimension ref="A1:D5"/>
  <sheetViews>
    <sheetView workbookViewId="0">
      <selection activeCell="F8" sqref="F8"/>
    </sheetView>
  </sheetViews>
  <sheetFormatPr baseColWidth="10" defaultRowHeight="16" x14ac:dyDescent="0.2"/>
  <cols>
    <col min="1" max="1" width="19" customWidth="1"/>
    <col min="3" max="3" width="11.1640625" customWidth="1"/>
    <col min="4" max="4" width="14" customWidth="1"/>
  </cols>
  <sheetData>
    <row r="1" spans="1:4" x14ac:dyDescent="0.2">
      <c r="A1" t="s">
        <v>17</v>
      </c>
      <c r="B1" t="s">
        <v>22</v>
      </c>
      <c r="C1" t="s">
        <v>23</v>
      </c>
      <c r="D1" t="s">
        <v>24</v>
      </c>
    </row>
    <row r="2" spans="1:4" x14ac:dyDescent="0.2">
      <c r="A2" t="s">
        <v>18</v>
      </c>
      <c r="B2" s="1">
        <f>(Calculations!I193 /Calculations!I2)^(1/15.917)-1</f>
        <v>0.12985024953101609</v>
      </c>
      <c r="C2" s="1">
        <f>(Calculations!K193/Calculations!K2)^(1/15.917)-1</f>
        <v>9.5821851967357485E-2</v>
      </c>
      <c r="D2" s="1">
        <f>(Calculations!M193/Calculations!M2)^(1/15.917)-1</f>
        <v>6.0732217643038489E-2</v>
      </c>
    </row>
    <row r="3" spans="1:4" x14ac:dyDescent="0.2">
      <c r="A3" t="s">
        <v>19</v>
      </c>
      <c r="B3" s="1">
        <f>STDEV(Portfolio_Returns!B2:B193)*SQRT(12)</f>
        <v>0.13663517601019604</v>
      </c>
      <c r="C3" s="1">
        <f>STDEV(Portfolio_Returns!C2:C193)*SQRT(12)</f>
        <v>9.6815492465551128E-2</v>
      </c>
      <c r="D3" s="1">
        <f>STDEV(Portfolio_Returns!D2:D193)*SQRT(12)</f>
        <v>6.2021568866531311E-2</v>
      </c>
    </row>
    <row r="4" spans="1:4" x14ac:dyDescent="0.2">
      <c r="A4" t="s">
        <v>20</v>
      </c>
      <c r="B4" s="1">
        <f>MIN(Drawdowns!H2:H193)</f>
        <v>-0.23797257185094411</v>
      </c>
      <c r="C4" s="1">
        <f>MIN(Drawdowns!I2:I193)</f>
        <v>-0.20596934329604089</v>
      </c>
      <c r="D4" s="1">
        <f>MIN(Drawdowns!J2:J193)</f>
        <v>-0.17423550700310209</v>
      </c>
    </row>
    <row r="5" spans="1:4" x14ac:dyDescent="0.2">
      <c r="A5" t="s">
        <v>21</v>
      </c>
      <c r="B5" s="1">
        <f>MIN(Portfolio_Returns!B2:B193)</f>
        <v>-0.13025810746277303</v>
      </c>
      <c r="C5" s="1">
        <f>MIN(Portfolio_Returns!C2:C193)</f>
        <v>-9.1558745640565584E-2</v>
      </c>
      <c r="D5" s="1">
        <f>MIN(Portfolio_Returns!D2:D193)</f>
        <v>-5.8241641581255346E-2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97AB-0F09-D145-BB3F-0F17B803B001}">
  <dimension ref="A1:B1"/>
  <sheetViews>
    <sheetView workbookViewId="0">
      <selection activeCell="E6" sqref="E6"/>
    </sheetView>
  </sheetViews>
  <sheetFormatPr baseColWidth="10" defaultRowHeight="16" x14ac:dyDescent="0.2"/>
  <cols>
    <col min="2" max="2" width="16" customWidth="1"/>
    <col min="15" max="16" width="10.83203125" customWidth="1"/>
  </cols>
  <sheetData>
    <row r="1" spans="1:2" x14ac:dyDescent="0.2">
      <c r="A1" s="9" t="s">
        <v>34</v>
      </c>
      <c r="B1" s="9"/>
    </row>
  </sheetData>
  <mergeCells count="1">
    <mergeCell ref="A1:B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8B39-0C76-3540-AE86-B0D491522EAA}">
  <dimension ref="A1:D10"/>
  <sheetViews>
    <sheetView workbookViewId="0">
      <selection activeCell="D10" sqref="D10"/>
    </sheetView>
  </sheetViews>
  <sheetFormatPr baseColWidth="10" defaultRowHeight="16" x14ac:dyDescent="0.2"/>
  <cols>
    <col min="1" max="1" width="25.1640625" customWidth="1"/>
    <col min="2" max="2" width="13.1640625" customWidth="1"/>
    <col min="3" max="3" width="14.83203125" customWidth="1"/>
    <col min="4" max="4" width="17.6640625" customWidth="1"/>
  </cols>
  <sheetData>
    <row r="1" spans="1:4" x14ac:dyDescent="0.2">
      <c r="A1" s="7" t="s">
        <v>25</v>
      </c>
      <c r="B1" s="6"/>
    </row>
    <row r="2" spans="1:4" x14ac:dyDescent="0.2">
      <c r="A2" s="8" t="s">
        <v>26</v>
      </c>
    </row>
    <row r="3" spans="1:4" x14ac:dyDescent="0.2">
      <c r="A3" s="8" t="s">
        <v>35</v>
      </c>
    </row>
    <row r="4" spans="1:4" x14ac:dyDescent="0.2">
      <c r="A4" s="8" t="s">
        <v>27</v>
      </c>
    </row>
    <row r="5" spans="1:4" x14ac:dyDescent="0.2">
      <c r="A5" s="8" t="s">
        <v>28</v>
      </c>
    </row>
    <row r="7" spans="1:4" x14ac:dyDescent="0.2">
      <c r="A7" t="s">
        <v>29</v>
      </c>
      <c r="B7" t="s">
        <v>30</v>
      </c>
      <c r="C7" t="s">
        <v>31</v>
      </c>
      <c r="D7" t="s">
        <v>32</v>
      </c>
    </row>
    <row r="8" spans="1:4" x14ac:dyDescent="0.2">
      <c r="A8" t="s">
        <v>33</v>
      </c>
      <c r="B8" s="1">
        <f>MIN(Drawdowns!H2:H121)</f>
        <v>-0.15903425674657234</v>
      </c>
      <c r="C8" s="1">
        <f>MIN(Drawdowns!I2:I121)</f>
        <v>-9.3477791261596943E-2</v>
      </c>
      <c r="D8" s="1">
        <f>MIN(Drawdowns!J2:J121)</f>
        <v>-3.8829319683699515E-2</v>
      </c>
    </row>
    <row r="9" spans="1:4" x14ac:dyDescent="0.2">
      <c r="A9">
        <v>2020</v>
      </c>
      <c r="B9" s="1">
        <f>MIN(Drawdowns!H122:H133)</f>
        <v>-0.19157823901989379</v>
      </c>
      <c r="C9" s="1">
        <f>MIN(Drawdowns!I122:I133)</f>
        <v>-0.12986552450857769</v>
      </c>
      <c r="D9" s="1">
        <f>MIN(Drawdowns!J122:J133)</f>
        <v>-6.5959621497297727E-2</v>
      </c>
    </row>
    <row r="10" spans="1:4" x14ac:dyDescent="0.2">
      <c r="A10">
        <v>2022</v>
      </c>
      <c r="B10" s="1">
        <f>MIN(Drawdowns!H146:H157)</f>
        <v>-0.23797257185094411</v>
      </c>
      <c r="C10" s="1">
        <f>MIN(Drawdowns!I146:I157)</f>
        <v>-0.20596934329604089</v>
      </c>
      <c r="D10" s="1">
        <f>MIN(Drawdowns!J146:J157)</f>
        <v>-0.17423550700310209</v>
      </c>
    </row>
  </sheetData>
  <pageMargins left="0.7" right="0.7" top="0.75" bottom="0.75" header="0.3" footer="0.3"/>
  <ignoredErrors>
    <ignoredError sqref="B8:D8 D9:D10 B9:B10 C9:C10" formulaRange="1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524A-0819-3E4B-9D64-DE3E2BAB46AB}">
  <dimension ref="A1"/>
  <sheetViews>
    <sheetView workbookViewId="0">
      <selection activeCell="K11" sqref="K1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Calculations</vt:lpstr>
      <vt:lpstr>Raw data</vt:lpstr>
      <vt:lpstr>Returns</vt:lpstr>
      <vt:lpstr>Portfolio_Returns</vt:lpstr>
      <vt:lpstr>Portfolio_Values</vt:lpstr>
      <vt:lpstr>Drawdowns</vt:lpstr>
      <vt:lpstr>Metrics</vt:lpstr>
      <vt:lpstr>Chart</vt:lpstr>
      <vt:lpstr>Regime Analysis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Dipekshya Karki</dc:creator>
  <cp:lastModifiedBy>Dipekshya Karki</cp:lastModifiedBy>
  <dcterms:created xsi:type="dcterms:W3CDTF">2026-01-13T17:45:49Z</dcterms:created>
  <dcterms:modified xsi:type="dcterms:W3CDTF">2026-01-14T02:59:37Z</dcterms:modified>
</cp:coreProperties>
</file>